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e2cgrandlille.sharepoint.com/sites/E2CRessourcesPdagogiques/Documents partages/09 - Veille pédagogique/Cartographie des ressources/"/>
    </mc:Choice>
  </mc:AlternateContent>
  <xr:revisionPtr revIDLastSave="2975" documentId="11_DCACCF8653E46F1D1722EA100DC5B11B4C0ED36C" xr6:coauthVersionLast="47" xr6:coauthVersionMax="47" xr10:uidLastSave="{8E365AFC-CDCC-406B-9504-3345616B2C63}"/>
  <bookViews>
    <workbookView xWindow="0" yWindow="0" windowWidth="28800" windowHeight="12210" activeTab="5" xr2:uid="{00000000-000D-0000-FFFF-FFFF00000000}"/>
  </bookViews>
  <sheets>
    <sheet name="catalogue" sheetId="1" r:id="rId1"/>
    <sheet name="TdB" sheetId="6" r:id="rId2"/>
    <sheet name="Socle (APC)" sheetId="7" r:id="rId3"/>
    <sheet name="Boite à outils (APC)" sheetId="8" r:id="rId4"/>
    <sheet name="Intégration (APC)" sheetId="3" r:id="rId5"/>
    <sheet name="Intégration SAS (APC)" sheetId="9" r:id="rId6"/>
    <sheet name="src" sheetId="2" r:id="rId7"/>
    <sheet name="Parcours Métier (APC)" sheetId="4" r:id="rId8"/>
  </sheets>
  <definedNames>
    <definedName name="_xlnm._FilterDatabase" localSheetId="0" hidden="1">catalogue!$A$1:$S$1</definedName>
    <definedName name="_xlnm._FilterDatabase" localSheetId="4" hidden="1">'Intégration (APC)'!$A$2:$AN$2</definedName>
    <definedName name="_xlnm._FilterDatabase" localSheetId="2" hidden="1">'Socle (APC)'!$A$2:$AM$2</definedName>
    <definedName name="_xlnm.Print_Area" localSheetId="1">TdB!$A:$D</definedName>
  </definedNames>
  <calcPr calcId="191028"/>
  <pivotCaches>
    <pivotCache cacheId="64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5" i="8" l="1"/>
  <c r="AM16" i="8"/>
  <c r="AM17" i="8"/>
  <c r="AM18" i="8"/>
  <c r="AM19" i="8"/>
  <c r="AM20" i="8"/>
  <c r="C15" i="8"/>
  <c r="C16" i="8"/>
  <c r="C17" i="8"/>
  <c r="C18" i="8"/>
  <c r="C19" i="8"/>
  <c r="C20" i="8"/>
  <c r="AM37" i="8"/>
  <c r="C37" i="8"/>
  <c r="AM36" i="8"/>
  <c r="C36" i="8"/>
  <c r="AM4" i="8"/>
  <c r="AM5" i="8"/>
  <c r="AM6" i="8"/>
  <c r="AM7" i="8"/>
  <c r="AM8" i="8"/>
  <c r="AM9" i="8"/>
  <c r="AM10" i="8"/>
  <c r="AM11" i="8"/>
  <c r="AM12" i="8"/>
  <c r="AM13" i="8"/>
  <c r="AM14" i="8"/>
  <c r="AM21" i="8"/>
  <c r="AM22" i="8"/>
  <c r="AM23" i="8"/>
  <c r="AM24" i="8"/>
  <c r="AM25" i="8"/>
  <c r="AM26" i="8"/>
  <c r="AM27" i="8"/>
  <c r="AM28" i="8"/>
  <c r="AM29" i="8"/>
  <c r="AM30" i="8"/>
  <c r="AM31" i="8"/>
  <c r="AM32" i="8"/>
  <c r="AM33" i="8"/>
  <c r="AM34" i="8"/>
  <c r="AM35" i="8"/>
  <c r="AM38" i="8"/>
  <c r="AM39" i="8"/>
  <c r="C32" i="7"/>
  <c r="AM28" i="9"/>
  <c r="AM9" i="9"/>
  <c r="C9" i="9" s="1"/>
  <c r="AM10" i="9"/>
  <c r="C10" i="9" s="1"/>
  <c r="AM2" i="9"/>
  <c r="AM3" i="9"/>
  <c r="AM4" i="9"/>
  <c r="AM5" i="9"/>
  <c r="AM6" i="9"/>
  <c r="AM7" i="9"/>
  <c r="C28" i="9"/>
  <c r="C29" i="9"/>
  <c r="AL30" i="9"/>
  <c r="AK30" i="9"/>
  <c r="AJ30" i="9"/>
  <c r="AI30" i="9"/>
  <c r="AH30" i="9"/>
  <c r="AG30" i="9"/>
  <c r="AF30" i="9"/>
  <c r="AE30" i="9"/>
  <c r="AD30" i="9"/>
  <c r="AC30" i="9"/>
  <c r="AB30" i="9"/>
  <c r="AA30" i="9"/>
  <c r="Z30" i="9"/>
  <c r="Y30" i="9"/>
  <c r="X30" i="9"/>
  <c r="W30" i="9"/>
  <c r="V30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2" i="9"/>
  <c r="C3" i="9"/>
  <c r="C4" i="9"/>
  <c r="C5" i="9"/>
  <c r="C6" i="9"/>
  <c r="C7" i="9"/>
  <c r="AM30" i="9"/>
  <c r="AM27" i="9"/>
  <c r="C27" i="9"/>
  <c r="AM26" i="9"/>
  <c r="C26" i="9"/>
  <c r="AM25" i="9"/>
  <c r="C25" i="9"/>
  <c r="AM24" i="9"/>
  <c r="C24" i="9"/>
  <c r="AM23" i="9"/>
  <c r="C23" i="9"/>
  <c r="AM22" i="9"/>
  <c r="C22" i="9"/>
  <c r="AM21" i="9"/>
  <c r="C21" i="9"/>
  <c r="AM20" i="9"/>
  <c r="C20" i="9"/>
  <c r="AM19" i="9"/>
  <c r="C19" i="9"/>
  <c r="AM18" i="9"/>
  <c r="C18" i="9"/>
  <c r="AM17" i="9"/>
  <c r="C17" i="9"/>
  <c r="AM16" i="9"/>
  <c r="C16" i="9"/>
  <c r="AM15" i="9"/>
  <c r="C15" i="9"/>
  <c r="AM14" i="9"/>
  <c r="C14" i="9"/>
  <c r="AM13" i="9"/>
  <c r="C13" i="9"/>
  <c r="AM12" i="9"/>
  <c r="C12" i="9"/>
  <c r="AM11" i="9"/>
  <c r="C11" i="9"/>
  <c r="AM8" i="9"/>
  <c r="C8" i="9"/>
  <c r="F36" i="3"/>
  <c r="C38" i="8"/>
  <c r="C24" i="8"/>
  <c r="C32" i="8"/>
  <c r="C33" i="8"/>
  <c r="C34" i="8"/>
  <c r="AM34" i="3"/>
  <c r="AM22" i="3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AM40" i="8" s="1"/>
  <c r="C39" i="8"/>
  <c r="C35" i="8"/>
  <c r="C31" i="8"/>
  <c r="C30" i="8"/>
  <c r="C29" i="8"/>
  <c r="C28" i="8"/>
  <c r="C27" i="8"/>
  <c r="C26" i="8"/>
  <c r="C25" i="8"/>
  <c r="C23" i="8"/>
  <c r="C22" i="8"/>
  <c r="C21" i="8"/>
  <c r="C14" i="8"/>
  <c r="C13" i="8"/>
  <c r="C12" i="8"/>
  <c r="C11" i="8"/>
  <c r="C10" i="8"/>
  <c r="C9" i="8"/>
  <c r="C8" i="8"/>
  <c r="C7" i="8"/>
  <c r="C6" i="8"/>
  <c r="C5" i="8"/>
  <c r="C4" i="8"/>
  <c r="AM3" i="8"/>
  <c r="C3" i="8"/>
  <c r="AN15" i="4"/>
  <c r="D15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Y29" i="4"/>
  <c r="X29" i="4"/>
  <c r="W29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AN29" i="4" s="1"/>
  <c r="AN28" i="4"/>
  <c r="D28" i="4"/>
  <c r="AN26" i="4"/>
  <c r="D26" i="4"/>
  <c r="AN25" i="4"/>
  <c r="D25" i="4"/>
  <c r="AN24" i="4"/>
  <c r="D24" i="4"/>
  <c r="AN23" i="4"/>
  <c r="D23" i="4"/>
  <c r="AN22" i="4"/>
  <c r="D22" i="4"/>
  <c r="AN21" i="4"/>
  <c r="D21" i="4"/>
  <c r="AN20" i="4"/>
  <c r="D20" i="4"/>
  <c r="AN19" i="4"/>
  <c r="D19" i="4"/>
  <c r="AN18" i="4"/>
  <c r="D18" i="4"/>
  <c r="AN17" i="4"/>
  <c r="D17" i="4"/>
  <c r="AN16" i="4"/>
  <c r="D16" i="4"/>
  <c r="AN14" i="4"/>
  <c r="D14" i="4"/>
  <c r="AN13" i="4"/>
  <c r="D13" i="4"/>
  <c r="AN12" i="4"/>
  <c r="D12" i="4"/>
  <c r="AN11" i="4"/>
  <c r="D11" i="4"/>
  <c r="AN10" i="4"/>
  <c r="D10" i="4"/>
  <c r="AN9" i="4"/>
  <c r="D9" i="4"/>
  <c r="AN8" i="4"/>
  <c r="D8" i="4"/>
  <c r="AN7" i="4"/>
  <c r="D7" i="4"/>
  <c r="AN6" i="4"/>
  <c r="D6" i="4"/>
  <c r="AN5" i="4"/>
  <c r="D5" i="4"/>
  <c r="AN4" i="4"/>
  <c r="D4" i="4"/>
  <c r="AN3" i="4"/>
  <c r="D3" i="4"/>
  <c r="C31" i="7"/>
  <c r="C30" i="7"/>
  <c r="C24" i="7"/>
  <c r="C25" i="7"/>
  <c r="C26" i="7"/>
  <c r="C27" i="7"/>
  <c r="C28" i="7"/>
  <c r="C23" i="7"/>
  <c r="C9" i="7"/>
  <c r="C3" i="7"/>
  <c r="C4" i="7"/>
  <c r="C5" i="7"/>
  <c r="C6" i="7"/>
  <c r="C7" i="7"/>
  <c r="C8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9" i="7"/>
  <c r="C33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AJ34" i="7"/>
  <c r="AK34" i="7"/>
  <c r="AL34" i="7"/>
  <c r="D34" i="7"/>
  <c r="AM3" i="3"/>
  <c r="AM6" i="3"/>
  <c r="C6" i="3"/>
  <c r="AM7" i="3"/>
  <c r="C7" i="3" s="1"/>
  <c r="AM8" i="3"/>
  <c r="C8" i="3" s="1"/>
  <c r="AM9" i="3"/>
  <c r="C9" i="3" s="1"/>
  <c r="AM10" i="3"/>
  <c r="C10" i="3" s="1"/>
  <c r="AM11" i="3"/>
  <c r="AM12" i="3"/>
  <c r="AM13" i="3"/>
  <c r="C11" i="3" s="1"/>
  <c r="AM14" i="3"/>
  <c r="C12" i="3" s="1"/>
  <c r="AM15" i="3"/>
  <c r="C13" i="3" s="1"/>
  <c r="AM16" i="3"/>
  <c r="C14" i="3" s="1"/>
  <c r="AM17" i="3"/>
  <c r="C15" i="3" s="1"/>
  <c r="AM18" i="3"/>
  <c r="C16" i="3" s="1"/>
  <c r="AM19" i="3"/>
  <c r="C17" i="3" s="1"/>
  <c r="AM20" i="3"/>
  <c r="AM21" i="3"/>
  <c r="AM23" i="3"/>
  <c r="AM24" i="3"/>
  <c r="AM25" i="3"/>
  <c r="C18" i="3" s="1"/>
  <c r="AM26" i="3"/>
  <c r="AM27" i="3"/>
  <c r="AM28" i="3"/>
  <c r="C19" i="3" s="1"/>
  <c r="AM29" i="3"/>
  <c r="C20" i="3" s="1"/>
  <c r="AM30" i="3"/>
  <c r="AM31" i="3"/>
  <c r="AM32" i="3"/>
  <c r="C21" i="3" s="1"/>
  <c r="AM33" i="3"/>
  <c r="C34" i="3" s="1"/>
  <c r="AM35" i="3"/>
  <c r="C35" i="3" s="1"/>
  <c r="C3" i="3"/>
  <c r="E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AI36" i="3"/>
  <c r="AJ36" i="3"/>
  <c r="AK36" i="3"/>
  <c r="AL36" i="3"/>
  <c r="D36" i="3"/>
  <c r="C33" i="3" l="1"/>
  <c r="C32" i="3"/>
  <c r="C31" i="3"/>
  <c r="C30" i="3"/>
  <c r="C29" i="3"/>
  <c r="C28" i="3"/>
  <c r="C26" i="3"/>
  <c r="C25" i="3"/>
  <c r="C24" i="3"/>
  <c r="C23" i="3"/>
  <c r="C27" i="3"/>
  <c r="C22" i="3"/>
  <c r="AM36" i="3"/>
  <c r="AN3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tc={1B6D79D3-1EFC-4DBD-97E4-B7D843ED5FFE}</author>
  </authors>
  <commentList>
    <comment ref="A13" authorId="0" shapeId="0" xr:uid="{1B6D79D3-1EFC-4DBD-97E4-B7D843ED5FFE}">
      <text>
        <t>[Threaded comment]
Your version of Excel allows you to read this threaded comment; however, any edits to it will get removed if the file is opened in a newer version of Excel. Learn more: https://go.microsoft.com/fwlink/?linkid=870924
Comment:
    Je modifierai 3 séances : 
Brise glace : 5a
Stage ready : 7a
Portrait en image : 6c (à la place du 5c) 
Vous en pensez quoi?
Reply:
    un stage pourquoi comment, 4a
Reply:
    à la place du 6a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tc={62A41FAD-34B5-4FB5-B4B3-73D5F86DC984}</author>
  </authors>
  <commentList>
    <comment ref="A18" authorId="0" shapeId="0" xr:uid="{62A41FAD-34B5-4FB5-B4B3-73D5F86DC984}">
      <text>
        <t>[Threaded comment]
Your version of Excel allows you to read this threaded comment; however, any edits to it will get removed if the file is opened in a newer version of Excel. Learn more: https://go.microsoft.com/fwlink/?linkid=870924
Comment:
    Je modifierai 3 séances : 
Brise glace : 5a
Stage ready : 7a
Portrait en image : 6c (à la place du 5c) 
Vous en pensez quoi?
Reply:
    un stage pourquoi comment, 4a
Reply:
    à la place du 6a</t>
      </text>
    </comment>
  </commentList>
</comments>
</file>

<file path=xl/sharedStrings.xml><?xml version="1.0" encoding="utf-8"?>
<sst xmlns="http://schemas.openxmlformats.org/spreadsheetml/2006/main" count="5986" uniqueCount="705">
  <si>
    <t>Nom de l'outil</t>
  </si>
  <si>
    <t>programmation</t>
  </si>
  <si>
    <t>type de contenu</t>
  </si>
  <si>
    <t>étape parcours</t>
  </si>
  <si>
    <t>up2c-projet</t>
  </si>
  <si>
    <t>up2c-séquence</t>
  </si>
  <si>
    <t>Socle</t>
  </si>
  <si>
    <t>Créé dans Up2C</t>
  </si>
  <si>
    <t>A jour dans Up2C</t>
  </si>
  <si>
    <t>Besoin RH</t>
  </si>
  <si>
    <t>Besoin ordi</t>
  </si>
  <si>
    <t>besoin matériel</t>
  </si>
  <si>
    <t>modalité</t>
  </si>
  <si>
    <t>objectifs généraux</t>
  </si>
  <si>
    <t>chemin</t>
  </si>
  <si>
    <t>A jour dans Sharepoint</t>
  </si>
  <si>
    <t>compétences</t>
  </si>
  <si>
    <t>Simulation d'entretien</t>
  </si>
  <si>
    <t>planning</t>
  </si>
  <si>
    <t>Entreprise</t>
  </si>
  <si>
    <t>toute étape</t>
  </si>
  <si>
    <t>ENT - Rencontres</t>
  </si>
  <si>
    <t>SOCLE</t>
  </si>
  <si>
    <t>oui</t>
  </si>
  <si>
    <t>1 pers. Ext</t>
  </si>
  <si>
    <t>non</t>
  </si>
  <si>
    <t>Un bureau</t>
  </si>
  <si>
    <t>individuel</t>
  </si>
  <si>
    <t>connaissance du monde professionnel</t>
  </si>
  <si>
    <t>Simulations d'Entretiens.docx</t>
  </si>
  <si>
    <t>Entretien de recadrage</t>
  </si>
  <si>
    <t>hors-planning</t>
  </si>
  <si>
    <t>Socialisation</t>
  </si>
  <si>
    <t>connaissance de soi</t>
  </si>
  <si>
    <t>Jury de validation</t>
  </si>
  <si>
    <t>Projet Professionnel</t>
  </si>
  <si>
    <t>principale</t>
  </si>
  <si>
    <t>Projet professionnel</t>
  </si>
  <si>
    <t>CMO, CRA, Post E2C</t>
  </si>
  <si>
    <t>video-projecteur</t>
  </si>
  <si>
    <t>construire son projet professionnel</t>
  </si>
  <si>
    <t>Présentation de projet-Jury de validation.pdf</t>
  </si>
  <si>
    <t>Intelligences Multiples</t>
  </si>
  <si>
    <t>Autonomisation</t>
  </si>
  <si>
    <t>Connaissance de soi</t>
  </si>
  <si>
    <t>1 Ref Péda</t>
  </si>
  <si>
    <t>matériel spécifique</t>
  </si>
  <si>
    <t>mixte</t>
  </si>
  <si>
    <t>https://e2cgrandlille.sharepoint.com/:f:/s/E2CRessourcesPdagogiques/IgAXKoCDk_XgTZzlJAqiCkWpATb8xGy62BUa40dNuK5IvHQ?e=cMmuaf</t>
  </si>
  <si>
    <t>CPS 1 - Les qualités</t>
  </si>
  <si>
    <t>socle</t>
  </si>
  <si>
    <t>dispositif - CPS</t>
  </si>
  <si>
    <t>2 Ref Péda</t>
  </si>
  <si>
    <t>Valise CPS</t>
  </si>
  <si>
    <t>collectif</t>
  </si>
  <si>
    <t>SEANCES</t>
  </si>
  <si>
    <t>CPS 2 - Les émotions</t>
  </si>
  <si>
    <t>CPS 3 - les besoins</t>
  </si>
  <si>
    <t>REX - avant stage</t>
  </si>
  <si>
    <t>intégration</t>
  </si>
  <si>
    <t>dispositif - REX</t>
  </si>
  <si>
    <t>PREPA REX et REX 2024</t>
  </si>
  <si>
    <t>REX- retour de stage</t>
  </si>
  <si>
    <t>REX - Restitution</t>
  </si>
  <si>
    <t>communication</t>
  </si>
  <si>
    <t>PREPA REX et REX 2025</t>
  </si>
  <si>
    <t>Visite en entreprise</t>
  </si>
  <si>
    <t>Café de l'emploi</t>
  </si>
  <si>
    <t>vidéo projecteur</t>
  </si>
  <si>
    <t>Démarches de recherche de stage</t>
  </si>
  <si>
    <t>-</t>
  </si>
  <si>
    <t>feuille de démarches</t>
  </si>
  <si>
    <t>Feuille de démarches.xlsx</t>
  </si>
  <si>
    <t>Préparation des démarches - lundi de l'emploi</t>
  </si>
  <si>
    <t>Urgence stage</t>
  </si>
  <si>
    <t>1 CRE</t>
  </si>
  <si>
    <t>Rencontre ton CRE- Je postule</t>
  </si>
  <si>
    <t>les contrats en alternance</t>
  </si>
  <si>
    <t>C Les contrats en alternance</t>
  </si>
  <si>
    <t>RIASEC</t>
  </si>
  <si>
    <t>10 - RIASEC</t>
  </si>
  <si>
    <t>Visite Organisme de formation</t>
  </si>
  <si>
    <t>Intervention Organisme de formation</t>
  </si>
  <si>
    <t>Activité sportive</t>
  </si>
  <si>
    <t>Tenue de sport</t>
  </si>
  <si>
    <t>agir en collectif</t>
  </si>
  <si>
    <t>Activité culturelle</t>
  </si>
  <si>
    <t>Séance A La Carte</t>
  </si>
  <si>
    <t>Suivi individuel</t>
  </si>
  <si>
    <t>feuills de routes</t>
  </si>
  <si>
    <t>https://portaile2cgrandlille.weebly.com/</t>
  </si>
  <si>
    <t>Entretien référent</t>
  </si>
  <si>
    <t>Guide du référent 032024.pptx</t>
  </si>
  <si>
    <t>Accueil référent</t>
  </si>
  <si>
    <t>Livret de compétences - actualisation</t>
  </si>
  <si>
    <t>livrets des jeunes</t>
  </si>
  <si>
    <t>12. Livret de compétences</t>
  </si>
  <si>
    <t>1 Intervenant</t>
  </si>
  <si>
    <t>EP3A - intro</t>
  </si>
  <si>
    <t>dispositif long</t>
  </si>
  <si>
    <t>dispositif - EP3A</t>
  </si>
  <si>
    <t>INTEGRATION</t>
  </si>
  <si>
    <t>Internet / PaperBoard</t>
  </si>
  <si>
    <t>sous-groupe</t>
  </si>
  <si>
    <t>Etape 1- Introduction 3H</t>
  </si>
  <si>
    <t>EP3A - Recherche</t>
  </si>
  <si>
    <t>acquisition de compétences</t>
  </si>
  <si>
    <t>Etape 2- Recherche Création Partage 9H</t>
  </si>
  <si>
    <t>EP3A - Création</t>
  </si>
  <si>
    <t>EP3A - Présentation</t>
  </si>
  <si>
    <t>EP3A -Bilan</t>
  </si>
  <si>
    <t>Etape 3- Bilan</t>
  </si>
  <si>
    <t>Enact'E2C 1 - Découvrir l’ESS &amp; les Objectifs de Développement Durable</t>
  </si>
  <si>
    <t>dispositif - EnactE2C</t>
  </si>
  <si>
    <t>BOITE A OUTIL</t>
  </si>
  <si>
    <t>1 Ref Péda + 1 animateur extérieur</t>
  </si>
  <si>
    <t>Atelier 1 - Enact_E2C présentation ODD ESS.pdf</t>
  </si>
  <si>
    <t>Enact'E2C 2 -  Apprendre à se connaître &amp; Constituer les équipes projets</t>
  </si>
  <si>
    <t>Atelier 2 - Enact_E2C constitution des équipes.pdf</t>
  </si>
  <si>
    <t>Enact'E2C 3 - créativité</t>
  </si>
  <si>
    <t>Atelier 3 - Enact_E2C creativite.pdf</t>
  </si>
  <si>
    <t>Enact'E2c 4 - Visite d’une entreprise sociale (ESS)</t>
  </si>
  <si>
    <t>Atelier 4 - Enact_E2C visite ESS.pdf</t>
  </si>
  <si>
    <t>Enact'E2C 5 - Prototypage : Donner forme au projet</t>
  </si>
  <si>
    <t>Atelier 5 - Enact_E2C prototypage.pdf</t>
  </si>
  <si>
    <t>Enact'E2C 6 - Enquête &amp; Immersion terrain : Comprendre les utilisateurs</t>
  </si>
  <si>
    <t>Atelier 6 - Enact_E2C enquete immersion terrain.pdf</t>
  </si>
  <si>
    <t>Enact'E2C 7 - Construire le modèle économique du projet</t>
  </si>
  <si>
    <t>Atelier 7 - Enact_E2C modèle éco.pdf</t>
  </si>
  <si>
    <t>Enact'E2C 8 - Budget &amp; Synthèse du projet</t>
  </si>
  <si>
    <t>Atelier 8 - Enact_E2C budget et synthèse.pdf</t>
  </si>
  <si>
    <t>Enact'E2C 9 - Présentation orale : Préparer et réussir le pitch du projet</t>
  </si>
  <si>
    <t>Atelier 9 - Enact_E2C présentation orale.pdf</t>
  </si>
  <si>
    <t>Enact'E2C 10 - À la carte : Finalisation &amp; Préparation au mini‑forum</t>
  </si>
  <si>
    <t>Atelier 10 - Enact_E2C à la carte.pdf</t>
  </si>
  <si>
    <t>enact'E2C 11 - Mini‑Forum : Présentation finale des projets</t>
  </si>
  <si>
    <t>Atelier 11 - Enact_E2C mini forum.pdf</t>
  </si>
  <si>
    <t>Enact E2C - Bilan  : valoriser les apprentissages &amp; clôturer le parcours</t>
  </si>
  <si>
    <t>Atelier 12 - Guide danimation - Bilan.pdf</t>
  </si>
  <si>
    <t>Atelier mémoire 1</t>
  </si>
  <si>
    <t>RAN</t>
  </si>
  <si>
    <t>Vidéo-projecteur</t>
  </si>
  <si>
    <t>Atelier 1</t>
  </si>
  <si>
    <t>SFC</t>
  </si>
  <si>
    <t>01 - SFC</t>
  </si>
  <si>
    <t>Les représentations (version courte)</t>
  </si>
  <si>
    <t>11 - Les représentations (version courte)</t>
  </si>
  <si>
    <t>Les représentations (version longue)</t>
  </si>
  <si>
    <t>vidéo-projecteur</t>
  </si>
  <si>
    <t>11 - Les représentations (version longue)</t>
  </si>
  <si>
    <t>Portrait en image</t>
  </si>
  <si>
    <t>00 - portrait en image (livrable de la période d'intégration)</t>
  </si>
  <si>
    <t>CPS Intro</t>
  </si>
  <si>
    <t>jeux</t>
  </si>
  <si>
    <t>atelier 1 Intro</t>
  </si>
  <si>
    <t>CV</t>
  </si>
  <si>
    <t>https://e2cgrandlille.sharepoint.com/:w:/s/E2CRessourcesPdagogiques/EWQTlXhEV4xDjq3SxVB8qzABr3d90n1EdDtmaY5LDPi1ZQ?e=XVHvVj</t>
  </si>
  <si>
    <t>Lettre de motivation</t>
  </si>
  <si>
    <t>DF_lettre_de_motivation__.docx</t>
  </si>
  <si>
    <t>Immersion centre de formation</t>
  </si>
  <si>
    <t>Stage de découverte</t>
  </si>
  <si>
    <t>Stage de validation de projet</t>
  </si>
  <si>
    <t>Stage d'acquisition de compétences</t>
  </si>
  <si>
    <t>Stage de pré embauche</t>
  </si>
  <si>
    <t>Stage Ready</t>
  </si>
  <si>
    <t>CRE + partenaire</t>
  </si>
  <si>
    <t>Stage Ready - préparer ses premières démarches.docx</t>
  </si>
  <si>
    <t>Un stage, pourquoi, comment?</t>
  </si>
  <si>
    <t>07 - Un stage pourquoi comment</t>
  </si>
  <si>
    <t>Se présenter en entreprise</t>
  </si>
  <si>
    <t>DF je me présente en entreprise.docx</t>
  </si>
  <si>
    <t>Stagiaire en or</t>
  </si>
  <si>
    <t>13 - Le stagiaire en or</t>
  </si>
  <si>
    <t>Métiers en tension</t>
  </si>
  <si>
    <t>C - Les métiers en tension</t>
  </si>
  <si>
    <t>Le tenue professionnelle</t>
  </si>
  <si>
    <t>16 - Tenue Professionnelle</t>
  </si>
  <si>
    <t>Forum PP</t>
  </si>
  <si>
    <t>positionnement</t>
  </si>
  <si>
    <t>3 Ref Péda</t>
  </si>
  <si>
    <t>kit + vidéo projecteur</t>
  </si>
  <si>
    <t>01 - Valise Forum PP</t>
  </si>
  <si>
    <t>Introduction Parcoureo</t>
  </si>
  <si>
    <t>jeu concept</t>
  </si>
  <si>
    <t>03 - Intro Parcoureo + concept</t>
  </si>
  <si>
    <t>Signature du suivi post-E2C</t>
  </si>
  <si>
    <t>sortie</t>
  </si>
  <si>
    <t>Entretien de suivi Post-E2C</t>
  </si>
  <si>
    <t>post-sortie</t>
  </si>
  <si>
    <t>Evaluation de stage</t>
  </si>
  <si>
    <t>Tests de positionnment</t>
  </si>
  <si>
    <t>Remise à niveau</t>
  </si>
  <si>
    <t>4.Process RAN V2 - positionnement et suivi.docx</t>
  </si>
  <si>
    <t>One Drive</t>
  </si>
  <si>
    <t>00 - création_de_compte_OneDrive_maj 10 2024.docx</t>
  </si>
  <si>
    <t>Remplacé par intro Up2C</t>
  </si>
  <si>
    <t>PIM Socialisation</t>
  </si>
  <si>
    <t>1 Chargé Soc / 1 ref péda</t>
  </si>
  <si>
    <t xml:space="preserve">Vidéo-projecteur, matériel de sport </t>
  </si>
  <si>
    <t>04-PIM socialisation</t>
  </si>
  <si>
    <t>Dilemme</t>
  </si>
  <si>
    <t>jeu dilemme</t>
  </si>
  <si>
    <t>Entretien PIM</t>
  </si>
  <si>
    <t>Le Ref Péda</t>
  </si>
  <si>
    <t>Entretien RAN</t>
  </si>
  <si>
    <t>Premier contact APC</t>
  </si>
  <si>
    <t>kit Séance</t>
  </si>
  <si>
    <t>02 - mise en contact APC</t>
  </si>
  <si>
    <t>Accueil- brise glace</t>
  </si>
  <si>
    <t>000- Séance accueil - brisons la glace</t>
  </si>
  <si>
    <t>Livret de compétences - création</t>
  </si>
  <si>
    <t>portes-vues</t>
  </si>
  <si>
    <t>03 - Livret de compétence</t>
  </si>
  <si>
    <t>Dossier d'inscription</t>
  </si>
  <si>
    <t>assistante pédagogique</t>
  </si>
  <si>
    <t>Simulation globale - bloc 1 - contexte</t>
  </si>
  <si>
    <t>dispositif - Simulation globale</t>
  </si>
  <si>
    <t>2-3 ref péda</t>
  </si>
  <si>
    <t>Simulation globale - bloc 2 - environnement de travail</t>
  </si>
  <si>
    <t>Simulation globale - bloc 3 - recrutement</t>
  </si>
  <si>
    <t>Simulation globale - bloc 4 - speedRH</t>
  </si>
  <si>
    <t>Simulation globale - bloc 5 - crémaillerez--vous?</t>
  </si>
  <si>
    <t>Simulation globale - bloc 6 - restitution</t>
  </si>
  <si>
    <t>Ambitions persos/pros</t>
  </si>
  <si>
    <t>Banque des métiers</t>
  </si>
  <si>
    <t xml:space="preserve">Je pense que tu es </t>
  </si>
  <si>
    <t>Le village</t>
  </si>
  <si>
    <t>s'informer, toujours au pluriel</t>
  </si>
  <si>
    <t>intérets perso et pro</t>
  </si>
  <si>
    <t>Résignation apprise acquise</t>
  </si>
  <si>
    <t>le rudologue</t>
  </si>
  <si>
    <t>argumenter oui mais… et si</t>
  </si>
  <si>
    <t>Qu'est-ce que le travail</t>
  </si>
  <si>
    <t>Je n'aime pas, je n'aime pas</t>
  </si>
  <si>
    <t>Job Coaching</t>
  </si>
  <si>
    <t>1 CRE + 1 intervenant</t>
  </si>
  <si>
    <t>Mes préférences</t>
  </si>
  <si>
    <t>Se former, chacun sa route…</t>
  </si>
  <si>
    <t>Les 5 mots clés de mon métier</t>
  </si>
  <si>
    <t>Service RH - entretiens</t>
  </si>
  <si>
    <t>L'héritage</t>
  </si>
  <si>
    <t>Entretiens : truc et astuces</t>
  </si>
  <si>
    <t>Relance téléphonique</t>
  </si>
  <si>
    <t>LM de préembauche</t>
  </si>
  <si>
    <t>Mes outils de recherche d'emploi</t>
  </si>
  <si>
    <t>Se présenter en 3 minutes</t>
  </si>
  <si>
    <t>Les SFC de mon métier</t>
  </si>
  <si>
    <t>Mobilité professionnel et géographique</t>
  </si>
  <si>
    <t>Mes axes de progrès</t>
  </si>
  <si>
    <t>Recherche de formation</t>
  </si>
  <si>
    <t>Mes qualités</t>
  </si>
  <si>
    <t>Mes valeurs</t>
  </si>
  <si>
    <t>CI - Mes valeurs</t>
  </si>
  <si>
    <t>Candidature spontanée</t>
  </si>
  <si>
    <t>CI - Candidature spontanée</t>
  </si>
  <si>
    <t>Réseaux sociaux</t>
  </si>
  <si>
    <t>Bilan APC</t>
  </si>
  <si>
    <t>05 - Bilan APC</t>
  </si>
  <si>
    <t>ça recrute</t>
  </si>
  <si>
    <t>1 Ref²</t>
  </si>
  <si>
    <t>CI - ça recrute</t>
  </si>
  <si>
    <t>La répartition de mon temps</t>
  </si>
  <si>
    <t>02 - La répartition de mon temps</t>
  </si>
  <si>
    <t>Election des représentants des stagiaires</t>
  </si>
  <si>
    <t>Modèle PV élections de délégués stagiaires.docx</t>
  </si>
  <si>
    <t>Enquête métiers/formations</t>
  </si>
  <si>
    <t>DF Enquête métier.docx</t>
  </si>
  <si>
    <t>Découverte métiers et conditions de travail</t>
  </si>
  <si>
    <t>Mes représentations sur les environnement de travail</t>
  </si>
  <si>
    <t>Retour RIASEC</t>
  </si>
  <si>
    <t>Pitcher mon projet</t>
  </si>
  <si>
    <t>Préparation Jury de validation</t>
  </si>
  <si>
    <t>Le vocabulaire de mon métier</t>
  </si>
  <si>
    <t>Réponse à une offre</t>
  </si>
  <si>
    <t>A chacun sa part</t>
  </si>
  <si>
    <t>DS - A chacun sa part.docx</t>
  </si>
  <si>
    <t>Les rôles dans les groupes</t>
  </si>
  <si>
    <t>Oser s'exprimer</t>
  </si>
  <si>
    <t>Organiser ses idées</t>
  </si>
  <si>
    <t>Faire une synthèse</t>
  </si>
  <si>
    <t>Adapter son expression</t>
  </si>
  <si>
    <t>Expliquer</t>
  </si>
  <si>
    <t>Argumenter</t>
  </si>
  <si>
    <t>S'exprimer et communiquer</t>
  </si>
  <si>
    <t>Préparation forum emploi</t>
  </si>
  <si>
    <t>forum emploi</t>
  </si>
  <si>
    <t>présent - premier groupe</t>
  </si>
  <si>
    <t>présent - infinitif en IR</t>
  </si>
  <si>
    <t>présent - 3ème groupe</t>
  </si>
  <si>
    <t>présent - méthode simplifiée</t>
  </si>
  <si>
    <t>présent - évaluation 1 - verbes utilisés à l'oral</t>
  </si>
  <si>
    <t>présent - évaluation 2 - verbes utilisés à l'écrit</t>
  </si>
  <si>
    <t>présent - évaluation générale -verbes utilisés à l'oral</t>
  </si>
  <si>
    <t>présent - évaluation générale -verbes utilisés à l'écrit</t>
  </si>
  <si>
    <t>imparfait - exercices</t>
  </si>
  <si>
    <t>imparfait - évaluation 1</t>
  </si>
  <si>
    <t>imparfait - évaluation 2</t>
  </si>
  <si>
    <t>futur simple - exercices 0</t>
  </si>
  <si>
    <t>futur simple - exercices 1</t>
  </si>
  <si>
    <t>futur simple - exercices 2</t>
  </si>
  <si>
    <t>futur simple - évaluation</t>
  </si>
  <si>
    <t>ponctuation - exercices 1</t>
  </si>
  <si>
    <t>ponctuation - exercices 2</t>
  </si>
  <si>
    <t>ponctuation - évaluation</t>
  </si>
  <si>
    <t>passé composé - exercices</t>
  </si>
  <si>
    <t>passé composé - évaluation</t>
  </si>
  <si>
    <t>vocabulaire - exercices</t>
  </si>
  <si>
    <t>vocabulaire - évaluation</t>
  </si>
  <si>
    <t>consigne - exercices</t>
  </si>
  <si>
    <t>consigne - évaluation</t>
  </si>
  <si>
    <t>accords - exercices</t>
  </si>
  <si>
    <t>accords - évaluations</t>
  </si>
  <si>
    <t>synonymes - préfixes - suffixes - exercices</t>
  </si>
  <si>
    <t>synonymes - préfixes - suffixes - évaluations</t>
  </si>
  <si>
    <t>homonymes - homophones - homographes - exercices</t>
  </si>
  <si>
    <t>homonymes - homophones - homographes - ne pas confondre...</t>
  </si>
  <si>
    <t>homonymes - homophones - homographes - évaluation</t>
  </si>
  <si>
    <t>négation</t>
  </si>
  <si>
    <t>phrase négative</t>
  </si>
  <si>
    <t>phrase intérrogative</t>
  </si>
  <si>
    <t>interrogation et négation - évaluation</t>
  </si>
  <si>
    <t>connecteurs logiques - exercices</t>
  </si>
  <si>
    <t>connecteurs logiques - outils</t>
  </si>
  <si>
    <t>connecteurs logiques - évaluation</t>
  </si>
  <si>
    <t>adapter son discours</t>
  </si>
  <si>
    <t>registres de langue - évaluation</t>
  </si>
  <si>
    <t>EXTHEX</t>
  </si>
  <si>
    <t>Word - produire une lettre</t>
  </si>
  <si>
    <t>Word -mise en page - évaluation</t>
  </si>
  <si>
    <t>Word - CV</t>
  </si>
  <si>
    <t>Word - CV à corriger - évaluation 1</t>
  </si>
  <si>
    <t>Word - CV check list - évaluation 2</t>
  </si>
  <si>
    <t>Word - saisir, imprimer, enregistrer</t>
  </si>
  <si>
    <t>Word - paramétrer</t>
  </si>
  <si>
    <t>Word - msie en forme de texte</t>
  </si>
  <si>
    <t>Word - Interlignes et espacements</t>
  </si>
  <si>
    <t>Word - retraits de paragraphes</t>
  </si>
  <si>
    <t>Word - utiliser les tabulations</t>
  </si>
  <si>
    <t>Word - insérer un tableau</t>
  </si>
  <si>
    <t>Word - mettre en forme un tableau</t>
  </si>
  <si>
    <t>Word - insérer un média</t>
  </si>
  <si>
    <t>Word - modifier un texte</t>
  </si>
  <si>
    <t>Word - vérifier et corriger un texte</t>
  </si>
  <si>
    <t>Word - listes, symboles et caractères spéciaux</t>
  </si>
  <si>
    <t>Word - bordures et trames</t>
  </si>
  <si>
    <t>Word - mise en page en colonnes</t>
  </si>
  <si>
    <t>Word - modèles de documents</t>
  </si>
  <si>
    <t>Word - formulaire</t>
  </si>
  <si>
    <t>Word - gérer un document long</t>
  </si>
  <si>
    <t>Excel - concevoir et utiliser un tableau</t>
  </si>
  <si>
    <t>Excel - budget - évaluation</t>
  </si>
  <si>
    <t>Excel - saisir des données et des formules simples</t>
  </si>
  <si>
    <t>Excel - mettre en forme une feuille de calcul</t>
  </si>
  <si>
    <t>Excel - utiliser des fonction et présenter des nombres</t>
  </si>
  <si>
    <t>Excel - trier des données et modifier une feuille de clacul</t>
  </si>
  <si>
    <t>Excel - créer des graphiques</t>
  </si>
  <si>
    <t>Excel - imprimer une feuille de calcul</t>
  </si>
  <si>
    <t>Excel - Nommer et recopier des cellules</t>
  </si>
  <si>
    <t>Excel - définir une action conditionnellle simple</t>
  </si>
  <si>
    <t>Excel - modifier et mettre en forme un graphique</t>
  </si>
  <si>
    <t>Excel - étude de cas 1 - taxe foncière</t>
  </si>
  <si>
    <t>Excel - étude de cas 2 - impot sur le revenu</t>
  </si>
  <si>
    <t>Excel - étude de cas 3 - impot sur le revenu</t>
  </si>
  <si>
    <t>Excel - budget - exercice</t>
  </si>
  <si>
    <t>Excel - budget - texte à trou évaluation</t>
  </si>
  <si>
    <t>Excel - budget - enquête de satisfaction</t>
  </si>
  <si>
    <t>Powerpoint - créer une nouvelle présentation</t>
  </si>
  <si>
    <t>Powerpoint - Ajoutern supprimer et déplacer des diapositives</t>
  </si>
  <si>
    <t>Powerpoint - Créer des animations</t>
  </si>
  <si>
    <t>introduction Classroom</t>
  </si>
  <si>
    <t>Obsolète</t>
  </si>
  <si>
    <t>CMS - évaluation</t>
  </si>
  <si>
    <t>Créer un site web avec un CMS</t>
  </si>
  <si>
    <t>Cration d'appli avec Glide</t>
  </si>
  <si>
    <t>logique et tests psychotechnique</t>
  </si>
  <si>
    <t>Cave aux énigmes</t>
  </si>
  <si>
    <t>logique - évaluation</t>
  </si>
  <si>
    <t>additions</t>
  </si>
  <si>
    <t>soustractions</t>
  </si>
  <si>
    <t xml:space="preserve">additions &amp; soustractions 2021 </t>
  </si>
  <si>
    <t>additions &amp; soustractions - évaluation</t>
  </si>
  <si>
    <t>multiplications</t>
  </si>
  <si>
    <t>réviser ses tables de multiplication</t>
  </si>
  <si>
    <t>multiplier astucieusement</t>
  </si>
  <si>
    <t>multiplication avec les doigts</t>
  </si>
  <si>
    <t>multiplication des nombres décimaux</t>
  </si>
  <si>
    <t>multiplication jusqu'à 100</t>
  </si>
  <si>
    <t>multiplications 2021</t>
  </si>
  <si>
    <t>multiplications 2021 - évaluation</t>
  </si>
  <si>
    <t>division 2021</t>
  </si>
  <si>
    <t>les divisions</t>
  </si>
  <si>
    <t>division - évaluation</t>
  </si>
  <si>
    <t>division 2021 - évaluation</t>
  </si>
  <si>
    <t>proportionnalité</t>
  </si>
  <si>
    <t>proportionnalité - évaluation</t>
  </si>
  <si>
    <t>résoudre un problème de pourcentage</t>
  </si>
  <si>
    <t>pourcentages directs</t>
  </si>
  <si>
    <t>pourcentages indirects</t>
  </si>
  <si>
    <t>pourcentages - tva et factures</t>
  </si>
  <si>
    <t>pourcentages - évaluation</t>
  </si>
  <si>
    <t>aires et périmètres</t>
  </si>
  <si>
    <t>aires - évaluation</t>
  </si>
  <si>
    <t>dossier fractions</t>
  </si>
  <si>
    <t>fractions - évaluation</t>
  </si>
  <si>
    <t>conversions d'unités de mesure</t>
  </si>
  <si>
    <t>conversions d'unités de mesure - évaluation</t>
  </si>
  <si>
    <t>volumes</t>
  </si>
  <si>
    <t>aires et volumes - évaluation</t>
  </si>
  <si>
    <t>durées</t>
  </si>
  <si>
    <t xml:space="preserve">additioner et soustraire des unités de temps - </t>
  </si>
  <si>
    <t>Résoudre un problème de vitesse</t>
  </si>
  <si>
    <t>Changer d'unité de vitesse</t>
  </si>
  <si>
    <t>Calculer une vitesse moyenne</t>
  </si>
  <si>
    <t>la vitesse</t>
  </si>
  <si>
    <t>vitesse - évaluation</t>
  </si>
  <si>
    <t>priorité des opérations</t>
  </si>
  <si>
    <t>utiliser la calculatrice</t>
  </si>
  <si>
    <t>priorité des opérations - évaluation</t>
  </si>
  <si>
    <t>calculatrice - évaluation</t>
  </si>
  <si>
    <t>comparaison inégalité</t>
  </si>
  <si>
    <t>comparaison inégalité - évaluation</t>
  </si>
  <si>
    <t>Résoudre une équation à une inconnue avec des nombres relatifs</t>
  </si>
  <si>
    <t>mettre un problème en équation - 1</t>
  </si>
  <si>
    <t>mettre un problème en équation - 2</t>
  </si>
  <si>
    <t>mettre un problème en équation - 3</t>
  </si>
  <si>
    <t>Résoudre une équation à une inconnue - évaluation</t>
  </si>
  <si>
    <t>notions de base en géométrie</t>
  </si>
  <si>
    <t>droites parallèles et perpendiculaires</t>
  </si>
  <si>
    <t>quadrilatères</t>
  </si>
  <si>
    <t>triangles</t>
  </si>
  <si>
    <t>cercle</t>
  </si>
  <si>
    <t>les angles</t>
  </si>
  <si>
    <t>effectuer un tracé géométrique - évaluation</t>
  </si>
  <si>
    <t>Utiliser les instruments pour réaliser des constructions géométrique - évaluation</t>
  </si>
  <si>
    <t>angles (Simon et Dylan)</t>
  </si>
  <si>
    <t>angles - évaluations</t>
  </si>
  <si>
    <t>moyenne et Excel</t>
  </si>
  <si>
    <t>synthèse statistique</t>
  </si>
  <si>
    <t>Fiche évaluation des compétences orales</t>
  </si>
  <si>
    <t>GDP - Cahier de recettes</t>
  </si>
  <si>
    <t>parcours métier</t>
  </si>
  <si>
    <t>Application Graines de pâtissier</t>
  </si>
  <si>
    <t>PM - Graines de pâtissier</t>
  </si>
  <si>
    <t>2024_ Dupliquer l'appli des graines.docx</t>
  </si>
  <si>
    <t>gestion du temps</t>
  </si>
  <si>
    <t>Developpement durable et éco-pâtisserie</t>
  </si>
  <si>
    <t>Développement durable et éco-pâtisserie.pdf</t>
  </si>
  <si>
    <t>gestion d'une pâtisserie</t>
  </si>
  <si>
    <t>Calculatrice</t>
  </si>
  <si>
    <t>Gestion d'une pâtisserie.pdf</t>
  </si>
  <si>
    <t>la saisonnalité et l'utilisation des fruits en pâtisserie</t>
  </si>
  <si>
    <t>Vidéo-projecteur, ciseaux, colle, Patafix</t>
  </si>
  <si>
    <t>La saisonnalité et l'utilisation des fruits en pâtisserie.pdf</t>
  </si>
  <si>
    <t>Le matériel professionnel</t>
  </si>
  <si>
    <t>Tableau, marqueurs, ciseaux, feutres, timer</t>
  </si>
  <si>
    <t>Le matériel professionnel.pdf</t>
  </si>
  <si>
    <t>Le tour de France des pâtisseries</t>
  </si>
  <si>
    <t>pate à fixe, feuilles A3 pour imprimer la carte de France et vidéoprojecteur</t>
  </si>
  <si>
    <t>Le tour de France des pâtisseries.pdf</t>
  </si>
  <si>
    <t>Le vocabulaire professionnel</t>
  </si>
  <si>
    <t>post-it, paperboard ou tableau</t>
  </si>
  <si>
    <t>Le vocabulaire professionnel.pdf</t>
  </si>
  <si>
    <t>Les règles sanitaires et l'hygiène en pâtisserie</t>
  </si>
  <si>
    <t>vidéoprojecteur, buzzers ou objets permettant de faire du bruit, post-it et stylos</t>
  </si>
  <si>
    <t>Les règles sanitaires et l'hygiène en pâtisserie.pdf</t>
  </si>
  <si>
    <t>Livret des graines</t>
  </si>
  <si>
    <t>feutres et feuilles A3, vidéoprojecteur</t>
  </si>
  <si>
    <t>Livret des graines.pdf</t>
  </si>
  <si>
    <t>Pâtissier chimiste émulsion et tempérage du chocolat</t>
  </si>
  <si>
    <t>feuilles A3, feutres</t>
  </si>
  <si>
    <t>Pâtissier chimiste émulsion et tempérage du chocolat.pdf</t>
  </si>
  <si>
    <t>Proportion, conversion et mesure en pâtisserie</t>
  </si>
  <si>
    <t>vidéoprojecteur, ardoises ou feuilles blanches</t>
  </si>
  <si>
    <t>Proportion, conversion et mesure en pâtisserie.pdf</t>
  </si>
  <si>
    <t>GDP - pourcentages - évaluation</t>
  </si>
  <si>
    <t>CAP Pâtisserie : où j’en suis aujourd’hui ?</t>
  </si>
  <si>
    <t>Déroulé uniquement sur Up2C</t>
  </si>
  <si>
    <t>Sujet CAP Français</t>
  </si>
  <si>
    <t>sujet-francais-cap-patissier-2019.pdf</t>
  </si>
  <si>
    <t>Sujet CAP Math</t>
  </si>
  <si>
    <t>sujet-maths-cap-patissier-2019.pdf</t>
  </si>
  <si>
    <t>Sujet CAP Math métropole</t>
  </si>
  <si>
    <t>SUJET_CAP_Maths_Gr1_Métropole.pdf</t>
  </si>
  <si>
    <t>Sujet CAP 2023</t>
  </si>
  <si>
    <t>2023-CAP-2-Sujet.pdf</t>
  </si>
  <si>
    <t>Sujet CAP Sciences</t>
  </si>
  <si>
    <t>CAP_Maths_ScPhCh_Grpmt1_2021.pdf</t>
  </si>
  <si>
    <t>Défis</t>
  </si>
  <si>
    <t>Résolution de problème</t>
  </si>
  <si>
    <t xml:space="preserve">Mots croisés GdP </t>
  </si>
  <si>
    <t>vidéoprojecteur</t>
  </si>
  <si>
    <t>motscroisesgdp.docx</t>
  </si>
  <si>
    <t>Design - Construction de projet</t>
  </si>
  <si>
    <t>HTML &amp; CSS</t>
  </si>
  <si>
    <t>JavaScript</t>
  </si>
  <si>
    <t>MySQL</t>
  </si>
  <si>
    <t>PHP</t>
  </si>
  <si>
    <t>Unity - Game Design</t>
  </si>
  <si>
    <t>Modélisation 3D</t>
  </si>
  <si>
    <t>Architecture réseau</t>
  </si>
  <si>
    <t>Cyberpark</t>
  </si>
  <si>
    <t>1 ref peda</t>
  </si>
  <si>
    <t>Cyber Sécurité</t>
  </si>
  <si>
    <t>Arduino</t>
  </si>
  <si>
    <t>Workshop</t>
  </si>
  <si>
    <t>Santé - sujets math</t>
  </si>
  <si>
    <t>PM - Santé &amp; Social</t>
  </si>
  <si>
    <t>Accueil Client</t>
  </si>
  <si>
    <t>Lest métiers du secteur médico-social</t>
  </si>
  <si>
    <t>LEs règles sanitaires et d'hygiène</t>
  </si>
  <si>
    <t>Les valeurs du secteur médico-social et de la Croix Rouge Française</t>
  </si>
  <si>
    <t>Anatomie</t>
  </si>
  <si>
    <t>Le secret professionnel</t>
  </si>
  <si>
    <t>Transmission médiacale</t>
  </si>
  <si>
    <t>Book parcours santé</t>
  </si>
  <si>
    <t>Vocabulaire médical</t>
  </si>
  <si>
    <t>Cadre Légal</t>
  </si>
  <si>
    <t>Gestion d'un centre de profit</t>
  </si>
  <si>
    <t>PM - Mécanique</t>
  </si>
  <si>
    <t>L'avenir de la profession</t>
  </si>
  <si>
    <t>3D parts and pieces</t>
  </si>
  <si>
    <t>Algorithme pour déterminer la terminaison correcte des verbes et participes passés en français</t>
  </si>
  <si>
    <t>Calul de cylindrée</t>
  </si>
  <si>
    <t>Calcul de la pression des pneus</t>
  </si>
  <si>
    <t>connaissances générales</t>
  </si>
  <si>
    <t>Accueil - jeu de rôle</t>
  </si>
  <si>
    <t>Le serrage des roues</t>
  </si>
  <si>
    <t>Les pneux et les angles</t>
  </si>
  <si>
    <t>Les principales unités de mesure en mécanique</t>
  </si>
  <si>
    <t>Projet facture Norauto</t>
  </si>
  <si>
    <t>S'exprimer correctement</t>
  </si>
  <si>
    <t>Atelier mémoire 2 - mémoire visuelle</t>
  </si>
  <si>
    <t>Atelier mémoire 3 - mémoire auditive</t>
  </si>
  <si>
    <t>Livret CPS</t>
  </si>
  <si>
    <t>Atelier cryptographie</t>
  </si>
  <si>
    <t>Mes objectifs</t>
  </si>
  <si>
    <t>RS - dans la peau d'un recruteur</t>
  </si>
  <si>
    <t>Atelier Sudoku</t>
  </si>
  <si>
    <t>Le pire CV du monde</t>
  </si>
  <si>
    <t>Le rivage des syrtes</t>
  </si>
  <si>
    <t>Tableau</t>
  </si>
  <si>
    <t>LES SYRTES.docx</t>
  </si>
  <si>
    <t>La machine à laver</t>
  </si>
  <si>
    <t>Excel / Tableur</t>
  </si>
  <si>
    <t>Ma Machine de Gérard v2</t>
  </si>
  <si>
    <t>Les factures</t>
  </si>
  <si>
    <t>modeles_factures pour pas à pas excel.xlsx</t>
  </si>
  <si>
    <t>Ecrire sur l'eau</t>
  </si>
  <si>
    <t>Haiku</t>
  </si>
  <si>
    <t>Haïku.docx</t>
  </si>
  <si>
    <t>Intro Up2C</t>
  </si>
  <si>
    <t>1 ref péda</t>
  </si>
  <si>
    <t>téléphone stagiaire</t>
  </si>
  <si>
    <t>Bilan de mi-parcours</t>
  </si>
  <si>
    <t>1 CMDPP</t>
  </si>
  <si>
    <t>Bilan mi parcours</t>
  </si>
  <si>
    <t>Expression orale</t>
  </si>
  <si>
    <t>Expression Orale</t>
  </si>
  <si>
    <t>Code de la route</t>
  </si>
  <si>
    <t>DF -  Code de la route.docx</t>
  </si>
  <si>
    <t xml:space="preserve">Bilan APC </t>
  </si>
  <si>
    <t>Bilan APC - progrès PIM</t>
  </si>
  <si>
    <t>Soie</t>
  </si>
  <si>
    <t>L'IA donne le LA</t>
  </si>
  <si>
    <t>Les discrimination</t>
  </si>
  <si>
    <t>Mini EP3A</t>
  </si>
  <si>
    <t> DF - Mini EP3A Pourcentages</t>
  </si>
  <si>
    <t>Retour APC SAS</t>
  </si>
  <si>
    <t>05 - retour SAS APC.docx</t>
  </si>
  <si>
    <t>0 (spécial)</t>
  </si>
  <si>
    <t>SAS - Clôture</t>
  </si>
  <si>
    <t>équipe péda</t>
  </si>
  <si>
    <t>DF SAS 3 jours.docx</t>
  </si>
  <si>
    <t>SAS - World Café des métiers</t>
  </si>
  <si>
    <t>1 RP + 1 obs</t>
  </si>
  <si>
    <t>SAS - Meurtre à la chocolaterie (LM)</t>
  </si>
  <si>
    <t>17 - Atelier LM - Meurtre à la chocolaterie</t>
  </si>
  <si>
    <t>SAS - Dynamique et Corps</t>
  </si>
  <si>
    <t>SAS - Ma semaine idéale</t>
  </si>
  <si>
    <t>SAS - Engagement</t>
  </si>
  <si>
    <t>SAS - Intelligence émotionnelle</t>
  </si>
  <si>
    <t>SAS - Le contrat idéal</t>
  </si>
  <si>
    <t>APC - Validation de compétences</t>
  </si>
  <si>
    <t>RP des jeunes</t>
  </si>
  <si>
    <t>covalidation_competences_APC.docx</t>
  </si>
  <si>
    <t>Pitch 1</t>
  </si>
  <si>
    <t>PM - Commerce</t>
  </si>
  <si>
    <t>1 réf péda</t>
  </si>
  <si>
    <t>Module_1_Pitch_E2C_avec_competences_APC.docx</t>
  </si>
  <si>
    <t>Pitch 2</t>
  </si>
  <si>
    <t>Module_2_Pitch_E2C_avec_competences_APC - Copie (2).docx</t>
  </si>
  <si>
    <t>Pitch 3</t>
  </si>
  <si>
    <t>Module_3_Pitch_E2C_avec_competences_APC - Copie (2).docx</t>
  </si>
  <si>
    <t>Linkedin création d'un réseau</t>
  </si>
  <si>
    <t>3. Linkedin</t>
  </si>
  <si>
    <t>Budget Parcours Commerce</t>
  </si>
  <si>
    <t>Excel / tableur</t>
  </si>
  <si>
    <t>budget_e2c.xlsx</t>
  </si>
  <si>
    <t>Facture Parcours Commerce</t>
  </si>
  <si>
    <t>facture_pedagogique (1).xlsx</t>
  </si>
  <si>
    <t>Entretien d'orientation</t>
  </si>
  <si>
    <t>CMO</t>
  </si>
  <si>
    <t xml:space="preserve"> compétences</t>
  </si>
  <si>
    <t>ALC</t>
  </si>
  <si>
    <t>APC</t>
  </si>
  <si>
    <t>CPS - les besoins</t>
  </si>
  <si>
    <t>CPS - les émotions</t>
  </si>
  <si>
    <t>Intelligences multiples</t>
  </si>
  <si>
    <t>APC - transversal</t>
  </si>
  <si>
    <t>BAO - entreprise</t>
  </si>
  <si>
    <t>Préaration forum emploi</t>
  </si>
  <si>
    <t>Préparation des démarches</t>
  </si>
  <si>
    <t>BAO - Projet Pro</t>
  </si>
  <si>
    <t>REX</t>
  </si>
  <si>
    <t>BAO - RAN</t>
  </si>
  <si>
    <t>BAO - socialisation</t>
  </si>
  <si>
    <t>CPS 1</t>
  </si>
  <si>
    <t>ENT - TRE</t>
  </si>
  <si>
    <t>LM</t>
  </si>
  <si>
    <t>GEN - Admin</t>
  </si>
  <si>
    <t>GEN - Suivi</t>
  </si>
  <si>
    <t>GEN - Suivi &amp; Admin</t>
  </si>
  <si>
    <t>Graines de pâtissiers</t>
  </si>
  <si>
    <t>Défis 2025</t>
  </si>
  <si>
    <t>Parcours Commerce</t>
  </si>
  <si>
    <t>Parcours Norauto</t>
  </si>
  <si>
    <t>Parcours santé</t>
  </si>
  <si>
    <t>PP - Général</t>
  </si>
  <si>
    <t>Prépa Numérique</t>
  </si>
  <si>
    <t>RAN - Français</t>
  </si>
  <si>
    <t>RAN - général</t>
  </si>
  <si>
    <t>Simulation globale</t>
  </si>
  <si>
    <t>RAN - Mathématiques</t>
  </si>
  <si>
    <t>SOC - Citoyenneté</t>
  </si>
  <si>
    <t>EnactE2C</t>
  </si>
  <si>
    <t>SOC - général</t>
  </si>
  <si>
    <t>(vide)</t>
  </si>
  <si>
    <t>Accueil référés</t>
  </si>
  <si>
    <t>Rencontre ton CRE</t>
  </si>
  <si>
    <t>Représentants des stagiaires</t>
  </si>
  <si>
    <t>Total général</t>
  </si>
  <si>
    <t>1 = de Communication</t>
  </si>
  <si>
    <t>2 = Mobilisation des Maths</t>
  </si>
  <si>
    <t>3 = Compétences Numériques</t>
  </si>
  <si>
    <t>4 = Travail en Collectif</t>
  </si>
  <si>
    <t>5 = Projection dans un Projet Professionnel</t>
  </si>
  <si>
    <t>6 = Apprendre à Apprendre</t>
  </si>
  <si>
    <t>7 = S'intégrer dans un Nouvel Environnement</t>
  </si>
  <si>
    <t>8 = Vie Sociale, Citoyenne et Culturelle</t>
  </si>
  <si>
    <t xml:space="preserve">9 = Communication en Langue Étrangère </t>
  </si>
  <si>
    <t>Séances</t>
  </si>
  <si>
    <t>ok up2c</t>
  </si>
  <si>
    <t>Count</t>
  </si>
  <si>
    <t>1a</t>
  </si>
  <si>
    <t>1b</t>
  </si>
  <si>
    <t>1c</t>
  </si>
  <si>
    <t>1d</t>
  </si>
  <si>
    <t>1e</t>
  </si>
  <si>
    <t>2a</t>
  </si>
  <si>
    <t>2b</t>
  </si>
  <si>
    <t>2c</t>
  </si>
  <si>
    <t>2d</t>
  </si>
  <si>
    <t>3a</t>
  </si>
  <si>
    <t>3b</t>
  </si>
  <si>
    <t>3c</t>
  </si>
  <si>
    <t>3d</t>
  </si>
  <si>
    <t>3e</t>
  </si>
  <si>
    <t>4a</t>
  </si>
  <si>
    <t>4b</t>
  </si>
  <si>
    <t>4c</t>
  </si>
  <si>
    <t>5a</t>
  </si>
  <si>
    <t>5b</t>
  </si>
  <si>
    <t>5c</t>
  </si>
  <si>
    <t>6a</t>
  </si>
  <si>
    <t>6b</t>
  </si>
  <si>
    <t>6c</t>
  </si>
  <si>
    <t>7a</t>
  </si>
  <si>
    <t>7b</t>
  </si>
  <si>
    <t>7c</t>
  </si>
  <si>
    <t>7d</t>
  </si>
  <si>
    <t>8a</t>
  </si>
  <si>
    <t>8b</t>
  </si>
  <si>
    <t>8c</t>
  </si>
  <si>
    <t>9a</t>
  </si>
  <si>
    <t>9b</t>
  </si>
  <si>
    <t>9c</t>
  </si>
  <si>
    <t>9d</t>
  </si>
  <si>
    <t>9e</t>
  </si>
  <si>
    <t>Colonne1</t>
  </si>
  <si>
    <t>entretien référent</t>
  </si>
  <si>
    <t>CPS - les qualités</t>
  </si>
  <si>
    <t>Total évalué</t>
  </si>
  <si>
    <t>enact'E2C - bilan</t>
  </si>
  <si>
    <t>Entretien Référent</t>
  </si>
  <si>
    <t>CPS 1 (Intro)</t>
  </si>
  <si>
    <t xml:space="preserve">Les représentations (version courte) </t>
  </si>
  <si>
    <t xml:space="preserve">Les représentations (version longue) </t>
  </si>
  <si>
    <t>Représentants des stagiaires (élection des délégués)</t>
  </si>
  <si>
    <t>Programmation</t>
  </si>
  <si>
    <t>incontournable</t>
  </si>
  <si>
    <t xml:space="preserve">compétence </t>
  </si>
  <si>
    <t>PM - Logistique</t>
  </si>
  <si>
    <t>PM - Numérique</t>
  </si>
  <si>
    <t>PM - Hotellerie Restauration</t>
  </si>
  <si>
    <t>Parcours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</si>
</sst>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quotePrefix="1"/>
    <xf numFmtId="0" fontId="1" fillId="0" borderId="0" xfId="0" applyFont="1"/>
    <xf numFmtId="0" fontId="2" fillId="0" borderId="0" xfId="1"/>
    <xf numFmtId="0" fontId="0" fillId="2" borderId="0" xfId="0" applyFill="1"/>
    <xf numFmtId="0" fontId="2" fillId="2" borderId="0" xfId="1" applyFill="1"/>
    <xf numFmtId="0" fontId="0" fillId="3" borderId="0" xfId="0" applyFill="1"/>
    <xf numFmtId="0" fontId="3" fillId="4" borderId="0" xfId="0" applyFont="1" applyFill="1"/>
    <xf numFmtId="0" fontId="0" fillId="5" borderId="0" xfId="0" applyFill="1"/>
    <xf numFmtId="0" fontId="1" fillId="3" borderId="0" xfId="0" applyFont="1" applyFill="1"/>
    <xf numFmtId="0" fontId="0" fillId="0" borderId="0" xfId="0" applyAlignment="1">
      <alignment vertical="center"/>
    </xf>
    <xf numFmtId="0" fontId="0" fillId="0" borderId="0" xfId="0" pivotButton="1"/>
    <xf numFmtId="0" fontId="0" fillId="0" borderId="0" xfId="0" pivotButton="1" applyAlignment="1">
      <alignment wrapText="1"/>
    </xf>
    <xf numFmtId="0" fontId="0" fillId="0" borderId="0" xfId="0" applyAlignment="1">
      <alignment wrapText="1"/>
    </xf>
    <xf numFmtId="0" fontId="4" fillId="0" borderId="0" xfId="0" applyFont="1"/>
    <xf numFmtId="0" fontId="0" fillId="0" borderId="1" xfId="0" applyBorder="1"/>
    <xf numFmtId="0" fontId="5" fillId="4" borderId="0" xfId="1" applyFont="1" applyFill="1"/>
    <xf numFmtId="0" fontId="0" fillId="6" borderId="0" xfId="0" applyFill="1"/>
    <xf numFmtId="0" fontId="0" fillId="2" borderId="3" xfId="0" applyFill="1" applyBorder="1"/>
    <xf numFmtId="0" fontId="0" fillId="2" borderId="1" xfId="0" applyFill="1" applyBorder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</cellXfs>
  <cellStyles count="2">
    <cellStyle name="Hyperlink" xfId="1" xr:uid="{00000000-000B-0000-0000-000008000000}"/>
    <cellStyle name="Normal" xfId="0" builtinId="0"/>
  </cellStyles>
  <dxfs count="16"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rgb="FFFFC000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rgb="FFFFC000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vertic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gnès PICART" id="{A02A6012-EC96-4E8F-B05A-EF38BB50C291}" userId="S::a.picart@e2c-grandlille.fr::96fb685c-89af-4747-842a-dcc12bf50272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96.751102199072" createdVersion="8" refreshedVersion="8" minRefreshableVersion="3" recordCount="342" xr:uid="{98E56510-DEE1-4AD1-A27A-6469B2F7C156}">
  <cacheSource type="worksheet">
    <worksheetSource ref="A1:Q362" sheet="catalogue"/>
  </cacheSource>
  <cacheFields count="17">
    <cacheField name="Nom de l'outil" numFmtId="0">
      <sharedItems count="339">
        <s v="Simulation d'entretien"/>
        <s v="Entretien de recadrage"/>
        <s v="Jury de validation"/>
        <s v="Entretien PIM"/>
        <s v="EP3A - intro"/>
        <s v="EP3A - Recherche"/>
        <s v="EP3A - Création"/>
        <s v="EP3A - Présentation"/>
        <s v="EP3A -Bilan"/>
        <s v="EnactE2C"/>
        <s v="Simulation globale"/>
        <s v="Premier contact APC"/>
        <s v="Forum PP"/>
        <s v="Tests de positionnment"/>
        <s v="PIM Socialisation"/>
        <s v="Atelier mémoire 1"/>
        <s v="Accueil- brise glace"/>
        <s v="One Drive"/>
        <s v="CV"/>
        <s v="LM"/>
        <s v="Stage Ready"/>
        <s v="Un stage, pourquoi, comment?"/>
        <s v="Se présenter en entreprise"/>
        <s v="REX - avant stage"/>
        <s v="CPS 1"/>
        <s v="SFC"/>
        <s v="Les représentations (version courte)"/>
        <s v="Les représentations (version longue)"/>
        <s v="Stagiaire en or"/>
        <s v="Livret de compétences - création"/>
        <s v="Séance A La Carte"/>
        <s v="RIASEC"/>
        <s v="Intelligences multiples"/>
        <s v="Visite en entreprise"/>
        <s v="Café de l'emploi"/>
        <s v="Job Coaching"/>
        <s v="Visite Organisme de formation"/>
        <s v="Intervention Organisme de formation"/>
        <s v="Immersion centre de formation"/>
        <s v="Stage de découverte"/>
        <s v="Stage de validation de projet"/>
        <s v="Stage d'acquisition de compétences"/>
        <s v="Stage de pré embauche"/>
        <s v="Activité sportive"/>
        <s v="Démarches de recherche de stage"/>
        <s v="Entretien référent"/>
        <s v="Accueil référent"/>
        <s v="Préparation des démarches"/>
        <s v="Bilan APC"/>
        <s v="Livret de compétences - actualisation"/>
        <s v="Signature du suivi post-E2C"/>
        <s v="Entretien de suivi Post-E2C"/>
        <s v="Evaluation de stage"/>
        <s v="REX"/>
        <s v="REX - Restitution"/>
        <s v="La répartition de mon temps"/>
        <s v="Urgence stage"/>
        <s v="Rencontre ton CRE"/>
        <s v="Représentants des stagiaires"/>
        <s v="Introduction Parcoureo"/>
        <s v="Portrait en image"/>
        <s v="Enquête métiers/formations"/>
        <s v="A chacun sa part"/>
        <s v="Ambitions persos/pros"/>
        <s v="Banque des métiers"/>
        <s v="Je pense que tu es "/>
        <s v="Le village"/>
        <s v="s'informer, toujours au pluriel"/>
        <s v="intérets perso et pro"/>
        <s v="Résignation apprise acquise"/>
        <s v="les contrats en alternance"/>
        <s v="le rudologue"/>
        <s v="argumenter oui mais… et si"/>
        <s v="Qu'est-ce que le travail"/>
        <s v="Je n'aime pas, je n'aime pas"/>
        <s v="Les rôles dans les groupes"/>
        <s v="Mes préférences"/>
        <s v="Se former, chacun sa route…"/>
        <s v="Les 5 mots clés de mon métier"/>
        <s v="Service RH - entretiens"/>
        <s v="L'héritage"/>
        <s v="Entretiens : truc et astuces"/>
        <s v="Relance téléphonique"/>
        <s v="LM de préembauche"/>
        <s v="Mes outils de recherche d'emploi"/>
        <s v="Se présenter en 3 minutes"/>
        <s v="Les SFC de mon métier"/>
        <s v="Mobilité professionnel et géographique"/>
        <s v="Mes axes de progrès"/>
        <s v="Recherche de formation"/>
        <s v="Mes qualités"/>
        <s v="Mes valeurs"/>
        <s v="Candidature spontanée"/>
        <s v="Réseaux sociaux"/>
        <s v="Métiers en tension"/>
        <s v="ça recrute"/>
        <s v="Dilemme"/>
        <s v="Le tenue professionnelle"/>
        <s v="Dossier d'inscription"/>
        <s v="Découverte métiers et conditions de travail"/>
        <s v="Mes représentations sur les environnement de travail"/>
        <s v="Retour RIASEC"/>
        <s v="Pitcher mon projet"/>
        <s v="Préparation Jury de validation"/>
        <s v="Le vocabulaire de mon métier"/>
        <s v="Réponse à une offre"/>
        <s v="Accueil référés"/>
        <s v="Préaration forum emploi"/>
        <s v="Oser s'exprimer"/>
        <s v="Organiser ses idées"/>
        <s v="Faire une synthèse"/>
        <s v="Adapter son expression"/>
        <s v="Expliquer"/>
        <s v="Argumenter"/>
        <s v="S'exprimer et communiquer"/>
        <s v="EXTHEX"/>
        <s v="présent - premier groupe"/>
        <s v="présent - infinitif en IR"/>
        <s v="présent - 3ème groupe"/>
        <s v="présent - méthode simplifiée"/>
        <s v="présent - évaluation 1 - verbes utilisés à l'oral"/>
        <s v="présent - évaluation 2 - verbes utilisés à l'écrit"/>
        <s v="présent - évaluation générale -verbes utilisés à l'oral"/>
        <s v="présent - évaluation générale -verbes utilisés à l'écrit"/>
        <s v="imparfait - exercices"/>
        <s v="imparfait - évaluation 1"/>
        <s v="imparfait - évaluation 2"/>
        <s v="futur simple - exercices 0"/>
        <s v="futur simple - exercices 1"/>
        <s v="futur simple - exercices 2"/>
        <s v="futur simple - évaluation"/>
        <s v="ponctuation - exercices 1"/>
        <s v="ponctuation - exercices 2"/>
        <s v="ponctuation - évaluation"/>
        <s v="passé composé - exercices"/>
        <s v="passé composé - évaluation"/>
        <s v="vocabulaire - exercices"/>
        <s v="vocabulaire - évaluation"/>
        <s v="consigne - exercices"/>
        <s v="consigne - évaluation"/>
        <s v="accords - exercices"/>
        <s v="accords - évaluations"/>
        <s v="synonymes - préfixes - suffixes - exercices"/>
        <s v="synonymes - préfixes - suffixes - évaluations"/>
        <s v="homonymes - homophones - homographes - exercices"/>
        <s v="homonymes - homophones - homographes - ne pas confondre..."/>
        <s v="homonymes - homophones - homographes - évaluation"/>
        <s v="négation"/>
        <s v="phrase négative"/>
        <s v="phrase intérrogative"/>
        <s v="interrogation et négation - évaluation"/>
        <s v="connecteurs logiques - exercices"/>
        <s v="connecteurs logiques - outils"/>
        <s v="connecteurs logiques - évaluation"/>
        <s v="adapter son discours"/>
        <s v="registres de langue - évaluation"/>
        <s v="introduction Classroom"/>
        <s v="Word - produire une lettre"/>
        <s v="Word -mise en page - évaluation"/>
        <s v="Word - CV"/>
        <s v="Word - CV à corriger - évaluation 1"/>
        <s v="Word - CV check list - évaluation 2"/>
        <s v="Word - saisir, imprimer, enregistrer"/>
        <s v="Word - paramétrer"/>
        <s v="Word - msie en forme de texte"/>
        <s v="Word - Interlignes et espacements"/>
        <s v="Word - retraits de paragraphes"/>
        <s v="Word - utiliser les tabulations"/>
        <s v="Word - insérer un tableau"/>
        <s v="Word - mettre en forme un tableau"/>
        <s v="Word - insérer un média"/>
        <s v="Word - modifier un texte"/>
        <s v="Word - vérifier et corriger un texte"/>
        <s v="Word - listes, symboles et caractères spéciaux"/>
        <s v="Word - bordures et trames"/>
        <s v="Word - mise en page en colonnes"/>
        <s v="Word - modèles de documents"/>
        <s v="Word - formulaire"/>
        <s v="Word - gérer un document long"/>
        <s v="Excel - concevoir et utiliser un tableau"/>
        <s v="Excel - budget - évaluation"/>
        <s v="Excel - saisir des données et des formules simples"/>
        <s v="Excel - mettre en forme une feuille de calcul"/>
        <s v="Excel - utiliser des fonction et présenter des nombres"/>
        <s v="Excel - trier des données et modifier une feuille de clacul"/>
        <s v="Excel - créer des graphiques"/>
        <s v="Excel - imprimer une feuille de calcul"/>
        <s v="Excel - Nommer et recopier des cellules"/>
        <s v="Excel - définir une action conditionnellle simple"/>
        <s v="Excel - modifier et mettre en forme un graphique"/>
        <s v="Excel - étude de cas 1 - taxe foncière"/>
        <s v="Excel - étude de cas 2 - impot sur le revenu"/>
        <s v="Excel - étude de cas 3 - impot sur le revenu"/>
        <s v="Excel - budget - exercice"/>
        <s v="Excel - budget - texte à trou évaluation"/>
        <s v="Excel - budget - enquête de satisfaction"/>
        <s v="Powerpoint - créer une nouvelle présentation"/>
        <s v="Powerpoint - Ajoutern supprimer et déplacer des diapositives"/>
        <s v="Powerpoint - Créer des animations"/>
        <s v="Créer un site web avec un CMS"/>
        <s v="CMS - évaluation"/>
        <s v="Cration d'appli avec Glide"/>
        <s v="Application Graines de pâtissier"/>
        <s v="logique et tests psychotechnique"/>
        <s v="Cave aux énigmes"/>
        <s v="logique - évaluation"/>
        <s v="additions"/>
        <s v="soustractions"/>
        <s v="additions &amp; soustractions 2021 "/>
        <s v="additions &amp; soustractions - évaluation"/>
        <s v="multiplications"/>
        <s v="réviser ses tables de multiplication"/>
        <s v="multiplier astucieusement"/>
        <s v="multiplication avec les doigts"/>
        <s v="multiplication des nombres décimaux"/>
        <s v="multiplication jusqu'à 100"/>
        <s v="multiplications 2021"/>
        <s v="multiplications 2021 - évaluation"/>
        <s v="division 2021"/>
        <s v="les divisions"/>
        <s v="division - évaluation"/>
        <s v="division 2021 - évaluation"/>
        <s v="proportionnalité"/>
        <s v="proportionnalité - évaluation"/>
        <s v="résoudre un problème de pourcentage"/>
        <s v="pourcentages directs"/>
        <s v="pourcentages indirects"/>
        <s v="pourcentages - tva et factures"/>
        <s v="pourcentages - évaluation"/>
        <s v="aires et périmètres"/>
        <s v="aires - évaluation"/>
        <s v="dossier fractions"/>
        <s v="fractions - évaluation"/>
        <s v="conversions d'unités de mesure"/>
        <s v="conversions d'unités de mesure - évaluation"/>
        <s v="volumes"/>
        <s v="aires et volumes - évaluation"/>
        <s v="durées"/>
        <s v="additioner et soustraire des unités de temps - "/>
        <s v="gestion du temps"/>
        <s v="Résoudre un problème de vitesse"/>
        <s v="Changer d'unité de vitesse"/>
        <s v="Calculer une vitesse moyenne"/>
        <s v="la vitesse"/>
        <s v="vitesse - évaluation"/>
        <s v="priorité des opérations"/>
        <s v="utiliser la calculatrice"/>
        <s v="priorité des opérations - évaluation"/>
        <s v="calculatrice - évaluation"/>
        <s v="comparaison inégalité"/>
        <s v="comparaison inégalité - évaluation"/>
        <s v="Résoudre une équation à une inconnue avec des nombres relatifs"/>
        <s v="mettre un problème en équation - 1"/>
        <s v="mettre un problème en équation - 2"/>
        <s v="mettre un problème en équation - 3"/>
        <s v="Résoudre une équation à une inconnue - évaluation"/>
        <s v="notions de base en géométrie"/>
        <s v="droites parallèles et perpendiculaires"/>
        <s v="quadrilatères"/>
        <s v="triangles"/>
        <s v="cercle"/>
        <s v="les angles"/>
        <s v="effectuer un tracé géométrique - évaluation"/>
        <s v="Utiliser les instruments pour réaliser des constructions géométrique - évaluation"/>
        <s v="angles (Simon et Dylan)"/>
        <s v="angles - évaluations"/>
        <s v="moyenne et Excel"/>
        <s v="synthèse statistique"/>
        <s v="Fiche évaluation des compétences orales"/>
        <s v="GDP - Cahier de recettes"/>
        <s v="Developpement durable et éco-pâtisserie"/>
        <s v="gestion d'une pâtisserie"/>
        <s v="la saisonnalité et l'utilisation des fruits en pâtisserie"/>
        <s v="Le matériel professionnel"/>
        <s v="Le tour de France des pâtisseries"/>
        <s v="Le vocabulaire professionnel"/>
        <s v="Les règles sanitaires et l'hygiène en pâtisserie"/>
        <s v="Livret des graines"/>
        <s v="Pâtissier chimiste émulsion et tempérage du chocolat"/>
        <s v="Proportion, conversion et mesure en pâtisserie"/>
        <s v="GDP - pourcentages - évaluation"/>
        <s v="Sujet CAP Français"/>
        <s v="Sujet CAP Math"/>
        <s v="Sujet CAP Math métropole"/>
        <s v="Sujet CAP 2023"/>
        <s v="Sujet CAP Sciences"/>
        <s v="Défis 2025"/>
        <s v="Mots croisés GdP "/>
        <s v="Résolution de problème"/>
        <s v="Design - Construction de projet"/>
        <s v="HTML &amp; CSS"/>
        <s v="JavaScript"/>
        <s v="MySQL"/>
        <s v="PHP"/>
        <s v="Unity - Game Design"/>
        <s v="Modélisation 3D"/>
        <s v="Architecture réseau"/>
        <s v="Cyber Sécurité"/>
        <s v="Arduino"/>
        <s v="Workshop"/>
        <s v="Accueil Client"/>
        <s v="Santé - sujets math"/>
        <s v="Lest métiers du secteur médico-social"/>
        <s v="LEs règles sanitaires et d'hygiène"/>
        <s v="Les valeurs du secteur médico-social et de la Croix Rouge Française"/>
        <s v="Anatomie"/>
        <s v="Le secret professionnel"/>
        <s v="Transmission médiacale"/>
        <s v="Vocabulaire médical"/>
        <s v="Book parcours santé"/>
        <s v="Cadre Légal"/>
        <s v="Gestion d'un centre de profit"/>
        <s v="L'avenir de la profession"/>
        <s v="3D parts and pieces"/>
        <s v="Algorithme pour déterminer la terminaison correcte des verbes et participes passés en français"/>
        <s v="Calul de cylindrée"/>
        <s v="Calcul de la pression des pneus"/>
        <s v="connaissances générales"/>
        <s v="Accueil - jeu de rôle"/>
        <s v="Le serrage des roues"/>
        <s v="Les pneux et les angles"/>
        <s v="Les principales unités de mesure en mécanique"/>
        <s v="Projet facture Norauto"/>
        <s v="S'exprimer correctement"/>
        <s v="Atelier mémoire 2 - mémoire visuelle"/>
        <s v="Atelier mémoire 3 - mémoire auditive"/>
        <s v="CPS - les besoins"/>
        <s v="CPS - les émotions"/>
        <s v="Livret CPS"/>
        <s v="Atelier cryptographie"/>
        <s v="Le pire CV du monde"/>
        <s v="Mes objectifs"/>
        <s v="RS - dans la peau d'un recruteur"/>
        <s v="Atelier Sudoku"/>
        <s v="Code de la route"/>
        <s v="Le rivage des syrtes"/>
        <s v="La machine à laver"/>
        <s v="Les factures"/>
        <s v="Ecrire sur l'eau"/>
      </sharedItems>
    </cacheField>
    <cacheField name="programmation" numFmtId="0">
      <sharedItems/>
    </cacheField>
    <cacheField name="type de contenu" numFmtId="0">
      <sharedItems containsBlank="1" count="8">
        <s v="Entreprise"/>
        <s v="Socialisation"/>
        <s v="Projet Professionnel"/>
        <s v="dispositif long"/>
        <s v="RAN"/>
        <s v="Autonomisation"/>
        <s v="parcours métier"/>
        <m/>
      </sharedItems>
    </cacheField>
    <cacheField name="étape parcours" numFmtId="0">
      <sharedItems count="6">
        <s v="toute étape"/>
        <s v="principale"/>
        <s v="intégration"/>
        <s v="positionnement"/>
        <s v="sortie"/>
        <s v="post-sortie"/>
      </sharedItems>
    </cacheField>
    <cacheField name="up2c-projet" numFmtId="0">
      <sharedItems containsBlank="1" count="26">
        <s v="ENT - Rencontres"/>
        <s v="GEN - Suivi &amp; Admin"/>
        <s v="PP - Général"/>
        <s v="APC - transversal"/>
        <s v="SOC - Citoyenneté"/>
        <s v="RAN - général"/>
        <s v="Connaissance de soi"/>
        <s v="ENT - TRE"/>
        <s v="ALC"/>
        <s v="intégration"/>
        <s v="BAO - RAN"/>
        <s v="BAO - entreprise"/>
        <s v="BAO - Projet Pro"/>
        <s v="BAO - socialisation"/>
        <s v="GEN - Suivi"/>
        <s v="APC"/>
        <m/>
        <s v="RAN - Mathématiques"/>
        <s v="SOC - général"/>
        <s v="Graines de pâtissiers"/>
        <s v="Prépa Numérique"/>
        <s v="Parcours Commerce"/>
        <s v="Parcours santé"/>
        <s v="Parcours Norauto"/>
        <s v="RAN - Français"/>
        <s v="GEN - Admin"/>
      </sharedItems>
    </cacheField>
    <cacheField name="up2c-séquence" numFmtId="0">
      <sharedItems containsBlank="1"/>
    </cacheField>
    <cacheField name="Socle" numFmtId="0">
      <sharedItems/>
    </cacheField>
    <cacheField name="Créé dans Up2C" numFmtId="0">
      <sharedItems containsBlank="1"/>
    </cacheField>
    <cacheField name="A jour dans Up2C" numFmtId="0">
      <sharedItems containsBlank="1"/>
    </cacheField>
    <cacheField name="Besoin RH" numFmtId="0">
      <sharedItems containsBlank="1" containsMixedTypes="1" containsNumber="1" containsInteger="1" minValue="1" maxValue="1"/>
    </cacheField>
    <cacheField name="Besoin ordi" numFmtId="0">
      <sharedItems containsBlank="1"/>
    </cacheField>
    <cacheField name="besoin matériel" numFmtId="0">
      <sharedItems containsBlank="1"/>
    </cacheField>
    <cacheField name="modalité" numFmtId="0">
      <sharedItems containsBlank="1"/>
    </cacheField>
    <cacheField name="objectifs généraux" numFmtId="0">
      <sharedItems count="6">
        <s v="connaissance du monde professionnel"/>
        <s v="connaissance de soi"/>
        <s v="construire son projet professionnel"/>
        <s v="acquisition de compétences"/>
        <s v="agir en collectif"/>
        <s v="communication"/>
      </sharedItems>
    </cacheField>
    <cacheField name="chemin" numFmtId="0">
      <sharedItems containsBlank="1"/>
    </cacheField>
    <cacheField name="A jour dans Sharepoint" numFmtId="0">
      <sharedItems containsBlank="1"/>
    </cacheField>
    <cacheField name="compétences" numFmtId="0">
      <sharedItems containsString="0" containsBlank="1" containsNumber="1" containsInteger="1" minValue="3" maxValue="3" count="2">
        <n v="3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2">
  <r>
    <x v="0"/>
    <s v="hors-planning"/>
    <x v="0"/>
    <x v="0"/>
    <x v="0"/>
    <s v="TRONC COMMUN"/>
    <s v="oui"/>
    <s v="oui"/>
    <s v="non"/>
    <s v="1 pers. Ext"/>
    <s v="non"/>
    <s v="Un bureau"/>
    <s v="individuel"/>
    <x v="0"/>
    <s v="Simulations d'Entretiens.docx"/>
    <s v="oui"/>
    <x v="0"/>
  </r>
  <r>
    <x v="1"/>
    <s v="hors-planning"/>
    <x v="1"/>
    <x v="0"/>
    <x v="1"/>
    <s v="TRONC COMMUN"/>
    <s v="non"/>
    <m/>
    <m/>
    <m/>
    <m/>
    <m/>
    <s v="individuel"/>
    <x v="1"/>
    <m/>
    <m/>
    <x v="1"/>
  </r>
  <r>
    <x v="2"/>
    <s v="hors-planning"/>
    <x v="2"/>
    <x v="1"/>
    <x v="2"/>
    <s v="FIN DE PARCOURS"/>
    <s v="oui"/>
    <m/>
    <m/>
    <m/>
    <m/>
    <m/>
    <s v="individuel"/>
    <x v="2"/>
    <m/>
    <m/>
    <x v="1"/>
  </r>
  <r>
    <x v="3"/>
    <s v="planning"/>
    <x v="2"/>
    <x v="2"/>
    <x v="1"/>
    <s v="INTEGRATION"/>
    <s v="oui"/>
    <m/>
    <m/>
    <m/>
    <m/>
    <m/>
    <s v="individuel"/>
    <x v="2"/>
    <m/>
    <m/>
    <x v="1"/>
  </r>
  <r>
    <x v="4"/>
    <s v="planning"/>
    <x v="3"/>
    <x v="1"/>
    <x v="3"/>
    <s v="PS - EP3A"/>
    <s v="non"/>
    <s v="oui"/>
    <m/>
    <m/>
    <m/>
    <m/>
    <s v="sous-groupe"/>
    <x v="1"/>
    <m/>
    <m/>
    <x v="1"/>
  </r>
  <r>
    <x v="5"/>
    <s v="planning"/>
    <x v="3"/>
    <x v="1"/>
    <x v="3"/>
    <s v="PS - EP3A"/>
    <s v="non"/>
    <m/>
    <m/>
    <m/>
    <m/>
    <m/>
    <s v="sous-groupe"/>
    <x v="3"/>
    <m/>
    <m/>
    <x v="1"/>
  </r>
  <r>
    <x v="6"/>
    <s v="planning"/>
    <x v="3"/>
    <x v="1"/>
    <x v="3"/>
    <s v="PS - EP3A"/>
    <s v="non"/>
    <m/>
    <m/>
    <m/>
    <m/>
    <m/>
    <s v="sous-groupe"/>
    <x v="4"/>
    <m/>
    <m/>
    <x v="1"/>
  </r>
  <r>
    <x v="7"/>
    <s v="planning"/>
    <x v="3"/>
    <x v="1"/>
    <x v="3"/>
    <s v="PS - EP3A"/>
    <s v="non"/>
    <m/>
    <m/>
    <m/>
    <m/>
    <m/>
    <s v="collectif"/>
    <x v="5"/>
    <m/>
    <m/>
    <x v="1"/>
  </r>
  <r>
    <x v="8"/>
    <s v="planning"/>
    <x v="3"/>
    <x v="1"/>
    <x v="3"/>
    <s v="PS - EP3A"/>
    <s v="non"/>
    <m/>
    <m/>
    <m/>
    <m/>
    <m/>
    <s v="collectif"/>
    <x v="1"/>
    <m/>
    <m/>
    <x v="1"/>
  </r>
  <r>
    <x v="9"/>
    <s v="planning"/>
    <x v="3"/>
    <x v="1"/>
    <x v="4"/>
    <s v="PS - Enact'E2C"/>
    <s v="non"/>
    <m/>
    <m/>
    <m/>
    <m/>
    <m/>
    <s v="sous-groupe"/>
    <x v="0"/>
    <m/>
    <m/>
    <x v="1"/>
  </r>
  <r>
    <x v="10"/>
    <s v="planning"/>
    <x v="3"/>
    <x v="1"/>
    <x v="5"/>
    <s v="PS - Simulation Globale"/>
    <s v="non"/>
    <m/>
    <m/>
    <m/>
    <m/>
    <m/>
    <s v="mixte"/>
    <x v="3"/>
    <m/>
    <m/>
    <x v="1"/>
  </r>
  <r>
    <x v="11"/>
    <s v="planning"/>
    <x v="2"/>
    <x v="3"/>
    <x v="3"/>
    <s v="INTEGRATION"/>
    <s v="oui"/>
    <s v="oui"/>
    <s v="oui"/>
    <s v="1 Ref Péda"/>
    <s v="oui"/>
    <s v="kit Séance"/>
    <s v="collectif"/>
    <x v="3"/>
    <s v="02 - mise en contact APC"/>
    <s v="oui"/>
    <x v="0"/>
  </r>
  <r>
    <x v="12"/>
    <s v="planning"/>
    <x v="2"/>
    <x v="3"/>
    <x v="3"/>
    <s v="INTEGRATION"/>
    <s v="oui"/>
    <s v="oui"/>
    <s v="oui"/>
    <s v="3 Ref Péda"/>
    <s v="non"/>
    <s v="kit + vidéo projecteur"/>
    <s v="sous-groupe"/>
    <x v="2"/>
    <s v="01 - Valise Forum PP"/>
    <s v="oui"/>
    <x v="0"/>
  </r>
  <r>
    <x v="13"/>
    <s v="planning"/>
    <x v="4"/>
    <x v="3"/>
    <x v="3"/>
    <s v="INTEGRATION"/>
    <s v="oui"/>
    <s v="oui"/>
    <s v="oui"/>
    <s v="1 Ref Péda"/>
    <s v="oui"/>
    <m/>
    <s v="individuel"/>
    <x v="3"/>
    <s v="4.Process RAN V2 - positionnement et suivi.docx"/>
    <s v="oui"/>
    <x v="0"/>
  </r>
  <r>
    <x v="14"/>
    <s v="planning"/>
    <x v="1"/>
    <x v="3"/>
    <x v="3"/>
    <s v="INTEGRATION"/>
    <s v="oui"/>
    <s v="oui"/>
    <s v="oui"/>
    <s v="1 Chargé Soc / 1 ref péda"/>
    <s v="non"/>
    <s v="Vidéo-projecteur, matériel de sport "/>
    <s v="sous-groupe"/>
    <x v="1"/>
    <s v="04-PIM socialisation"/>
    <s v="oui"/>
    <x v="0"/>
  </r>
  <r>
    <x v="15"/>
    <s v="planning"/>
    <x v="4"/>
    <x v="2"/>
    <x v="6"/>
    <s v="INTEGRATION"/>
    <s v="oui"/>
    <s v="oui"/>
    <s v="oui"/>
    <s v="1 Ref Péda"/>
    <s v="non"/>
    <s v="Vidéo-projecteur"/>
    <s v="collectif"/>
    <x v="1"/>
    <s v="Atelier 1"/>
    <s v="oui"/>
    <x v="0"/>
  </r>
  <r>
    <x v="16"/>
    <s v="planning"/>
    <x v="5"/>
    <x v="2"/>
    <x v="2"/>
    <s v="INTEGRATION"/>
    <s v="oui"/>
    <s v="oui"/>
    <s v="oui"/>
    <s v="1 Ref Péda"/>
    <s v="non"/>
    <m/>
    <s v="collectif"/>
    <x v="5"/>
    <s v="000- Séance accueil - brisons la glace"/>
    <s v="oui"/>
    <x v="0"/>
  </r>
  <r>
    <x v="17"/>
    <s v="planning"/>
    <x v="4"/>
    <x v="2"/>
    <x v="3"/>
    <s v="INTEGRATION"/>
    <s v="non"/>
    <s v="oui"/>
    <s v="oui"/>
    <s v="1 Ref Péda"/>
    <s v="oui"/>
    <m/>
    <s v="individuel"/>
    <x v="3"/>
    <s v="00 - création_de_compte_OneDrive_maj 10 2024.docx"/>
    <s v="non"/>
    <x v="0"/>
  </r>
  <r>
    <x v="18"/>
    <s v="planning"/>
    <x v="2"/>
    <x v="2"/>
    <x v="7"/>
    <s v="INTEGRATION"/>
    <s v="oui"/>
    <s v="oui"/>
    <s v="oui"/>
    <s v="1 Ref Péda"/>
    <s v="oui"/>
    <s v="Vidéo-projecteur"/>
    <s v="individuel"/>
    <x v="2"/>
    <s v="https://e2cgrandlille.sharepoint.com/:w:/s/E2CRessourcesPdagogiques/EWQTlXhEV4xDjq3SxVB8qzABr3d90n1EdDtmaY5LDPi1ZQ?e=XVHvVj"/>
    <s v="oui"/>
    <x v="0"/>
  </r>
  <r>
    <x v="19"/>
    <s v="planning"/>
    <x v="2"/>
    <x v="2"/>
    <x v="7"/>
    <s v="INTEGRATION"/>
    <s v="oui"/>
    <s v="oui"/>
    <s v="oui"/>
    <s v="1 Ref Péda"/>
    <s v="oui"/>
    <m/>
    <s v="individuel"/>
    <x v="2"/>
    <s v="DF_lettre_de_motivation__.docx"/>
    <s v="oui"/>
    <x v="0"/>
  </r>
  <r>
    <x v="20"/>
    <s v="planning"/>
    <x v="0"/>
    <x v="2"/>
    <x v="2"/>
    <s v="INTEGRATION"/>
    <s v="non"/>
    <s v="oui"/>
    <s v="oui"/>
    <s v="CRE + partenaire"/>
    <s v="oui"/>
    <m/>
    <s v="individuel"/>
    <x v="2"/>
    <s v="Stage Ready - préparer ses premières démarches.docx"/>
    <s v="oui"/>
    <x v="0"/>
  </r>
  <r>
    <x v="21"/>
    <s v="planning"/>
    <x v="0"/>
    <x v="2"/>
    <x v="7"/>
    <s v="INTEGRATION"/>
    <s v="oui"/>
    <s v="oui"/>
    <s v="oui"/>
    <s v="1 Ref Péda"/>
    <s v="oui"/>
    <m/>
    <s v="collectif"/>
    <x v="0"/>
    <s v="07 - Un stage pourquoi comment"/>
    <s v="oui"/>
    <x v="0"/>
  </r>
  <r>
    <x v="22"/>
    <s v="planning"/>
    <x v="0"/>
    <x v="2"/>
    <x v="7"/>
    <s v="INTEGRATION"/>
    <s v="oui"/>
    <s v="oui"/>
    <s v="oui"/>
    <s v="1 Ref Péda"/>
    <s v="non"/>
    <m/>
    <s v="collectif"/>
    <x v="5"/>
    <s v="DF je me présente en entreprise.docx"/>
    <s v="oui"/>
    <x v="0"/>
  </r>
  <r>
    <x v="23"/>
    <s v="planning"/>
    <x v="2"/>
    <x v="2"/>
    <x v="2"/>
    <s v="TRONC COMMUN"/>
    <s v="oui"/>
    <s v="oui"/>
    <s v="oui"/>
    <s v="1 Ref Péda"/>
    <s v="oui"/>
    <m/>
    <s v="individuel"/>
    <x v="2"/>
    <s v="PREPA REX et REX 2024"/>
    <s v="oui"/>
    <x v="0"/>
  </r>
  <r>
    <x v="24"/>
    <s v="planning"/>
    <x v="5"/>
    <x v="2"/>
    <x v="6"/>
    <s v="INTEGRATION"/>
    <s v="oui"/>
    <s v="oui"/>
    <s v="oui"/>
    <s v="2 Ref Péda"/>
    <s v="non"/>
    <s v="jeux"/>
    <s v="collectif"/>
    <x v="1"/>
    <s v="atelier 1 Intro"/>
    <s v="oui"/>
    <x v="0"/>
  </r>
  <r>
    <x v="25"/>
    <s v="planning"/>
    <x v="5"/>
    <x v="2"/>
    <x v="6"/>
    <s v="INTEGRATION"/>
    <s v="oui"/>
    <s v="oui"/>
    <s v="oui"/>
    <s v="1 Ref Péda"/>
    <s v="oui"/>
    <m/>
    <s v="collectif"/>
    <x v="1"/>
    <s v="01 - SFC"/>
    <s v="oui"/>
    <x v="0"/>
  </r>
  <r>
    <x v="26"/>
    <s v="planning"/>
    <x v="5"/>
    <x v="2"/>
    <x v="6"/>
    <s v="INTEGRATION"/>
    <s v="non"/>
    <s v="oui"/>
    <s v="oui"/>
    <s v="1 Ref Péda"/>
    <s v="non"/>
    <s v="Vidéo-projecteur"/>
    <s v="collectif"/>
    <x v="1"/>
    <s v="11 - Les représentations (version courte)"/>
    <s v="oui"/>
    <x v="0"/>
  </r>
  <r>
    <x v="27"/>
    <s v="planning"/>
    <x v="5"/>
    <x v="2"/>
    <x v="6"/>
    <s v="INTEGRATION"/>
    <s v="non"/>
    <s v="oui"/>
    <s v="oui"/>
    <s v="1 Ref Péda"/>
    <s v="non"/>
    <s v="Vidéo-projecteur"/>
    <s v="collectif"/>
    <x v="1"/>
    <s v="11 - Les représentations (version longue)"/>
    <s v="oui"/>
    <x v="0"/>
  </r>
  <r>
    <x v="28"/>
    <s v="planning"/>
    <x v="2"/>
    <x v="2"/>
    <x v="2"/>
    <s v="INTEGRATION"/>
    <s v="oui"/>
    <s v="oui"/>
    <s v="oui"/>
    <s v="1 Ref Péda"/>
    <s v="non"/>
    <s v="jeux"/>
    <s v="collectif"/>
    <x v="0"/>
    <s v="13 - Le stagiaire en or"/>
    <s v="oui"/>
    <x v="0"/>
  </r>
  <r>
    <x v="29"/>
    <s v="planning"/>
    <x v="2"/>
    <x v="2"/>
    <x v="2"/>
    <s v="INTEGRATION"/>
    <s v="oui"/>
    <s v="oui"/>
    <s v="oui"/>
    <s v="1 Ref Péda"/>
    <s v="oui"/>
    <s v="portes-vues"/>
    <s v="individuel"/>
    <x v="3"/>
    <s v="03 - Livret de compétence"/>
    <m/>
    <x v="0"/>
  </r>
  <r>
    <x v="30"/>
    <s v="planning"/>
    <x v="5"/>
    <x v="0"/>
    <x v="8"/>
    <s v="TRONC COMMUN"/>
    <s v="oui"/>
    <m/>
    <m/>
    <m/>
    <m/>
    <m/>
    <s v="mixte"/>
    <x v="2"/>
    <m/>
    <m/>
    <x v="1"/>
  </r>
  <r>
    <x v="31"/>
    <s v="planning"/>
    <x v="2"/>
    <x v="2"/>
    <x v="9"/>
    <s v="compétences"/>
    <s v="oui"/>
    <s v="oui"/>
    <s v="oui"/>
    <s v="1 Ref Péda"/>
    <s v="oui"/>
    <m/>
    <s v="individuel"/>
    <x v="2"/>
    <s v="10 - RIASEC"/>
    <s v="oui"/>
    <x v="0"/>
  </r>
  <r>
    <x v="32"/>
    <s v="planning"/>
    <x v="5"/>
    <x v="1"/>
    <x v="10"/>
    <s v="connaissance de soi"/>
    <s v="non"/>
    <s v="oui"/>
    <m/>
    <m/>
    <m/>
    <m/>
    <s v="individuel"/>
    <x v="1"/>
    <m/>
    <m/>
    <x v="1"/>
  </r>
  <r>
    <x v="33"/>
    <s v="planning"/>
    <x v="0"/>
    <x v="0"/>
    <x v="11"/>
    <m/>
    <s v="oui"/>
    <s v="oui"/>
    <m/>
    <m/>
    <m/>
    <m/>
    <s v="collectif"/>
    <x v="0"/>
    <m/>
    <m/>
    <x v="1"/>
  </r>
  <r>
    <x v="34"/>
    <s v="planning"/>
    <x v="0"/>
    <x v="0"/>
    <x v="11"/>
    <m/>
    <s v="non"/>
    <m/>
    <m/>
    <m/>
    <m/>
    <m/>
    <s v="collectif"/>
    <x v="0"/>
    <m/>
    <m/>
    <x v="1"/>
  </r>
  <r>
    <x v="35"/>
    <s v="planning"/>
    <x v="2"/>
    <x v="0"/>
    <x v="11"/>
    <m/>
    <s v="non"/>
    <m/>
    <m/>
    <m/>
    <m/>
    <m/>
    <s v="individuel"/>
    <x v="2"/>
    <m/>
    <m/>
    <x v="1"/>
  </r>
  <r>
    <x v="36"/>
    <s v="planning"/>
    <x v="2"/>
    <x v="0"/>
    <x v="12"/>
    <m/>
    <s v="oui"/>
    <s v="oui"/>
    <m/>
    <m/>
    <m/>
    <m/>
    <s v="collectif"/>
    <x v="0"/>
    <m/>
    <m/>
    <x v="1"/>
  </r>
  <r>
    <x v="37"/>
    <s v="planning"/>
    <x v="2"/>
    <x v="0"/>
    <x v="12"/>
    <m/>
    <s v="non"/>
    <s v="oui"/>
    <m/>
    <m/>
    <m/>
    <m/>
    <s v="collectif"/>
    <x v="0"/>
    <m/>
    <m/>
    <x v="1"/>
  </r>
  <r>
    <x v="38"/>
    <s v="hors-planning"/>
    <x v="2"/>
    <x v="0"/>
    <x v="12"/>
    <m/>
    <s v="non"/>
    <m/>
    <m/>
    <m/>
    <m/>
    <m/>
    <s v="individuel"/>
    <x v="2"/>
    <m/>
    <m/>
    <x v="1"/>
  </r>
  <r>
    <x v="39"/>
    <s v="hors-planning"/>
    <x v="0"/>
    <x v="0"/>
    <x v="11"/>
    <m/>
    <s v="oui"/>
    <m/>
    <m/>
    <m/>
    <m/>
    <m/>
    <s v="individuel"/>
    <x v="2"/>
    <m/>
    <m/>
    <x v="1"/>
  </r>
  <r>
    <x v="40"/>
    <s v="hors-planning"/>
    <x v="0"/>
    <x v="0"/>
    <x v="11"/>
    <m/>
    <s v="oui"/>
    <m/>
    <m/>
    <m/>
    <m/>
    <m/>
    <s v="individuel"/>
    <x v="2"/>
    <m/>
    <m/>
    <x v="1"/>
  </r>
  <r>
    <x v="41"/>
    <s v="hors-planning"/>
    <x v="0"/>
    <x v="0"/>
    <x v="11"/>
    <m/>
    <s v="oui"/>
    <m/>
    <m/>
    <m/>
    <m/>
    <m/>
    <s v="individuel"/>
    <x v="3"/>
    <m/>
    <m/>
    <x v="1"/>
  </r>
  <r>
    <x v="42"/>
    <s v="hors-planning"/>
    <x v="0"/>
    <x v="0"/>
    <x v="11"/>
    <m/>
    <s v="non"/>
    <m/>
    <m/>
    <m/>
    <m/>
    <m/>
    <s v="individuel"/>
    <x v="2"/>
    <m/>
    <m/>
    <x v="1"/>
  </r>
  <r>
    <x v="43"/>
    <s v="planning"/>
    <x v="1"/>
    <x v="0"/>
    <x v="13"/>
    <s v="sport"/>
    <s v="oui"/>
    <s v="oui"/>
    <m/>
    <m/>
    <m/>
    <m/>
    <s v="collectif"/>
    <x v="4"/>
    <m/>
    <m/>
    <x v="1"/>
  </r>
  <r>
    <x v="44"/>
    <s v="planning"/>
    <x v="5"/>
    <x v="0"/>
    <x v="11"/>
    <m/>
    <s v="oui"/>
    <s v="oui"/>
    <m/>
    <m/>
    <m/>
    <m/>
    <s v="individuel"/>
    <x v="2"/>
    <m/>
    <m/>
    <x v="1"/>
  </r>
  <r>
    <x v="45"/>
    <s v="planning"/>
    <x v="2"/>
    <x v="0"/>
    <x v="14"/>
    <s v="TRONC COMMUN"/>
    <s v="oui"/>
    <s v="oui"/>
    <s v="oui"/>
    <s v="1 Ref Péda"/>
    <s v="non"/>
    <m/>
    <s v="individuel"/>
    <x v="2"/>
    <s v="Guide du référent 032024.pptx"/>
    <m/>
    <x v="0"/>
  </r>
  <r>
    <x v="46"/>
    <s v="planning"/>
    <x v="2"/>
    <x v="0"/>
    <x v="12"/>
    <m/>
    <s v="oui"/>
    <m/>
    <m/>
    <m/>
    <m/>
    <m/>
    <s v="mixte"/>
    <x v="2"/>
    <m/>
    <m/>
    <x v="1"/>
  </r>
  <r>
    <x v="47"/>
    <s v="planning"/>
    <x v="0"/>
    <x v="0"/>
    <x v="11"/>
    <m/>
    <s v="oui"/>
    <m/>
    <m/>
    <m/>
    <m/>
    <m/>
    <s v="individuel"/>
    <x v="2"/>
    <m/>
    <m/>
    <x v="1"/>
  </r>
  <r>
    <x v="48"/>
    <s v="planning"/>
    <x v="5"/>
    <x v="0"/>
    <x v="15"/>
    <m/>
    <s v="oui"/>
    <m/>
    <m/>
    <m/>
    <m/>
    <m/>
    <s v="mixte"/>
    <x v="1"/>
    <m/>
    <m/>
    <x v="1"/>
  </r>
  <r>
    <x v="49"/>
    <s v="planning"/>
    <x v="5"/>
    <x v="0"/>
    <x v="15"/>
    <m/>
    <s v="oui"/>
    <m/>
    <m/>
    <m/>
    <m/>
    <m/>
    <s v="individuel"/>
    <x v="1"/>
    <m/>
    <m/>
    <x v="1"/>
  </r>
  <r>
    <x v="50"/>
    <s v="hors-planning"/>
    <x v="2"/>
    <x v="4"/>
    <x v="12"/>
    <m/>
    <s v="non"/>
    <m/>
    <m/>
    <m/>
    <m/>
    <m/>
    <s v="individuel"/>
    <x v="2"/>
    <m/>
    <m/>
    <x v="1"/>
  </r>
  <r>
    <x v="51"/>
    <s v="hors-planning"/>
    <x v="2"/>
    <x v="5"/>
    <x v="12"/>
    <m/>
    <s v="non"/>
    <m/>
    <m/>
    <m/>
    <m/>
    <m/>
    <s v="individuel"/>
    <x v="2"/>
    <m/>
    <m/>
    <x v="1"/>
  </r>
  <r>
    <x v="52"/>
    <s v="hors-planning"/>
    <x v="0"/>
    <x v="0"/>
    <x v="11"/>
    <m/>
    <s v="oui"/>
    <m/>
    <m/>
    <m/>
    <m/>
    <m/>
    <s v="individuel"/>
    <x v="2"/>
    <m/>
    <m/>
    <x v="1"/>
  </r>
  <r>
    <x v="53"/>
    <s v="planning"/>
    <x v="2"/>
    <x v="0"/>
    <x v="12"/>
    <m/>
    <s v="oui"/>
    <m/>
    <m/>
    <m/>
    <m/>
    <m/>
    <s v="individuel"/>
    <x v="2"/>
    <m/>
    <m/>
    <x v="1"/>
  </r>
  <r>
    <x v="54"/>
    <s v="planning"/>
    <x v="2"/>
    <x v="0"/>
    <x v="12"/>
    <m/>
    <s v="oui"/>
    <m/>
    <m/>
    <m/>
    <m/>
    <m/>
    <s v="individuel"/>
    <x v="5"/>
    <m/>
    <m/>
    <x v="1"/>
  </r>
  <r>
    <x v="55"/>
    <s v="planning"/>
    <x v="2"/>
    <x v="2"/>
    <x v="9"/>
    <m/>
    <s v="non"/>
    <s v="oui"/>
    <s v="oui"/>
    <s v="1 Ref Péda"/>
    <s v="oui"/>
    <m/>
    <s v="individuel"/>
    <x v="1"/>
    <s v="02 - La répartition de mon temps"/>
    <s v="oui"/>
    <x v="0"/>
  </r>
  <r>
    <x v="56"/>
    <s v="planning"/>
    <x v="0"/>
    <x v="0"/>
    <x v="16"/>
    <m/>
    <s v="non"/>
    <s v="oui"/>
    <m/>
    <m/>
    <m/>
    <m/>
    <s v="individuel"/>
    <x v="2"/>
    <m/>
    <m/>
    <x v="1"/>
  </r>
  <r>
    <x v="57"/>
    <s v="planning"/>
    <x v="0"/>
    <x v="0"/>
    <x v="16"/>
    <m/>
    <s v="oui"/>
    <s v="oui"/>
    <m/>
    <m/>
    <m/>
    <m/>
    <s v="collectif"/>
    <x v="0"/>
    <m/>
    <m/>
    <x v="1"/>
  </r>
  <r>
    <x v="58"/>
    <s v="planning"/>
    <x v="5"/>
    <x v="2"/>
    <x v="16"/>
    <m/>
    <s v="non"/>
    <s v="oui"/>
    <m/>
    <m/>
    <m/>
    <m/>
    <s v="collectif"/>
    <x v="4"/>
    <m/>
    <m/>
    <x v="1"/>
  </r>
  <r>
    <x v="59"/>
    <s v="planning"/>
    <x v="2"/>
    <x v="2"/>
    <x v="9"/>
    <m/>
    <s v="oui"/>
    <s v="oui"/>
    <s v="oui"/>
    <s v="1 Ref Péda"/>
    <s v="oui"/>
    <s v="jeu concept"/>
    <s v="individuel"/>
    <x v="0"/>
    <s v="03 - Intro Parcoureo + concept"/>
    <s v="oui"/>
    <x v="0"/>
  </r>
  <r>
    <x v="60"/>
    <s v="planning"/>
    <x v="2"/>
    <x v="2"/>
    <x v="9"/>
    <m/>
    <s v="oui"/>
    <s v="oui"/>
    <s v="oui"/>
    <s v="1 Ref Péda"/>
    <s v="oui"/>
    <m/>
    <s v="individuel"/>
    <x v="1"/>
    <s v="00 - portrait en image (livrable de la période d'intégration)"/>
    <s v="oui"/>
    <x v="0"/>
  </r>
  <r>
    <x v="61"/>
    <s v="planning"/>
    <x v="2"/>
    <x v="1"/>
    <x v="12"/>
    <s v="J'y vais"/>
    <s v="non"/>
    <s v="oui"/>
    <m/>
    <m/>
    <m/>
    <m/>
    <s v="individuel"/>
    <x v="0"/>
    <m/>
    <m/>
    <x v="1"/>
  </r>
  <r>
    <x v="62"/>
    <s v="planning"/>
    <x v="2"/>
    <x v="1"/>
    <x v="12"/>
    <s v="J'explore"/>
    <s v="oui"/>
    <s v="oui"/>
    <m/>
    <m/>
    <m/>
    <m/>
    <s v="collectif"/>
    <x v="1"/>
    <m/>
    <m/>
    <x v="1"/>
  </r>
  <r>
    <x v="63"/>
    <s v="hors-planning"/>
    <x v="2"/>
    <x v="1"/>
    <x v="12"/>
    <s v="J'explore"/>
    <s v="non"/>
    <s v="oui"/>
    <m/>
    <m/>
    <m/>
    <m/>
    <s v="individuel"/>
    <x v="2"/>
    <m/>
    <m/>
    <x v="1"/>
  </r>
  <r>
    <x v="64"/>
    <s v="hors-planning"/>
    <x v="2"/>
    <x v="1"/>
    <x v="12"/>
    <s v="J'explore"/>
    <s v="non"/>
    <s v="oui"/>
    <m/>
    <m/>
    <m/>
    <m/>
    <s v="collectif"/>
    <x v="0"/>
    <m/>
    <m/>
    <x v="1"/>
  </r>
  <r>
    <x v="65"/>
    <s v="hors-planning"/>
    <x v="2"/>
    <x v="1"/>
    <x v="12"/>
    <s v="J'explore"/>
    <s v="non"/>
    <s v="oui"/>
    <m/>
    <m/>
    <m/>
    <m/>
    <s v="collectif"/>
    <x v="1"/>
    <m/>
    <m/>
    <x v="1"/>
  </r>
  <r>
    <x v="66"/>
    <s v="hors-planning"/>
    <x v="2"/>
    <x v="1"/>
    <x v="12"/>
    <s v="J'explore"/>
    <s v="non"/>
    <s v="oui"/>
    <m/>
    <m/>
    <m/>
    <m/>
    <s v="collectif"/>
    <x v="5"/>
    <m/>
    <m/>
    <x v="1"/>
  </r>
  <r>
    <x v="67"/>
    <s v="hors-planning"/>
    <x v="2"/>
    <x v="1"/>
    <x v="12"/>
    <s v="Je sais"/>
    <s v="non"/>
    <s v="oui"/>
    <m/>
    <m/>
    <m/>
    <m/>
    <m/>
    <x v="0"/>
    <m/>
    <m/>
    <x v="1"/>
  </r>
  <r>
    <x v="68"/>
    <s v="hors-planning"/>
    <x v="2"/>
    <x v="1"/>
    <x v="12"/>
    <s v="J'explore"/>
    <s v="non"/>
    <s v="oui"/>
    <m/>
    <m/>
    <m/>
    <m/>
    <s v="mixte"/>
    <x v="1"/>
    <m/>
    <m/>
    <x v="1"/>
  </r>
  <r>
    <x v="69"/>
    <s v="hors-planning"/>
    <x v="2"/>
    <x v="1"/>
    <x v="12"/>
    <s v="J'explore"/>
    <s v="non"/>
    <s v="oui"/>
    <m/>
    <m/>
    <m/>
    <m/>
    <s v="collectif"/>
    <x v="1"/>
    <m/>
    <m/>
    <x v="1"/>
  </r>
  <r>
    <x v="70"/>
    <s v="planning"/>
    <x v="0"/>
    <x v="1"/>
    <x v="12"/>
    <s v="J'explore"/>
    <s v="oui"/>
    <s v="oui"/>
    <m/>
    <m/>
    <m/>
    <m/>
    <s v="collectif"/>
    <x v="0"/>
    <m/>
    <m/>
    <x v="1"/>
  </r>
  <r>
    <x v="71"/>
    <s v="hors-planning"/>
    <x v="2"/>
    <x v="1"/>
    <x v="12"/>
    <s v="J'ai des idées"/>
    <s v="non"/>
    <s v="oui"/>
    <m/>
    <m/>
    <m/>
    <m/>
    <s v="collectif"/>
    <x v="0"/>
    <m/>
    <m/>
    <x v="1"/>
  </r>
  <r>
    <x v="72"/>
    <s v="hors-planning"/>
    <x v="2"/>
    <x v="1"/>
    <x v="12"/>
    <s v="Je sais"/>
    <s v="non"/>
    <s v="oui"/>
    <m/>
    <m/>
    <m/>
    <m/>
    <m/>
    <x v="5"/>
    <m/>
    <m/>
    <x v="1"/>
  </r>
  <r>
    <x v="73"/>
    <s v="hors-planning"/>
    <x v="2"/>
    <x v="1"/>
    <x v="12"/>
    <s v="J'explore"/>
    <s v="non"/>
    <s v="oui"/>
    <m/>
    <m/>
    <m/>
    <m/>
    <s v="mixte"/>
    <x v="1"/>
    <m/>
    <m/>
    <x v="1"/>
  </r>
  <r>
    <x v="74"/>
    <s v="hors-planning"/>
    <x v="2"/>
    <x v="1"/>
    <x v="12"/>
    <s v="J'explore"/>
    <s v="non"/>
    <s v="oui"/>
    <m/>
    <m/>
    <m/>
    <m/>
    <m/>
    <x v="1"/>
    <m/>
    <m/>
    <x v="1"/>
  </r>
  <r>
    <x v="75"/>
    <s v="planning"/>
    <x v="2"/>
    <x v="1"/>
    <x v="12"/>
    <s v="Je sais"/>
    <s v="non"/>
    <s v="oui"/>
    <m/>
    <m/>
    <m/>
    <m/>
    <s v="sous-groupe"/>
    <x v="4"/>
    <m/>
    <m/>
    <x v="1"/>
  </r>
  <r>
    <x v="76"/>
    <s v="hors-planning"/>
    <x v="2"/>
    <x v="1"/>
    <x v="12"/>
    <s v="J'explore"/>
    <s v="non"/>
    <s v="oui"/>
    <m/>
    <m/>
    <m/>
    <m/>
    <m/>
    <x v="1"/>
    <m/>
    <m/>
    <x v="1"/>
  </r>
  <r>
    <x v="77"/>
    <s v="hors-planning"/>
    <x v="2"/>
    <x v="1"/>
    <x v="12"/>
    <s v="Je sais"/>
    <s v="non"/>
    <s v="oui"/>
    <m/>
    <m/>
    <m/>
    <m/>
    <m/>
    <x v="2"/>
    <m/>
    <m/>
    <x v="1"/>
  </r>
  <r>
    <x v="78"/>
    <s v="hors-planning"/>
    <x v="2"/>
    <x v="1"/>
    <x v="12"/>
    <s v="J'ai des idées"/>
    <s v="non"/>
    <s v="oui"/>
    <m/>
    <m/>
    <m/>
    <m/>
    <m/>
    <x v="0"/>
    <m/>
    <m/>
    <x v="1"/>
  </r>
  <r>
    <x v="79"/>
    <s v="hors-planning"/>
    <x v="2"/>
    <x v="1"/>
    <x v="12"/>
    <s v="Je sais"/>
    <s v="non"/>
    <s v="oui"/>
    <m/>
    <m/>
    <m/>
    <m/>
    <s v="mixte"/>
    <x v="2"/>
    <m/>
    <m/>
    <x v="1"/>
  </r>
  <r>
    <x v="80"/>
    <s v="hors-planning"/>
    <x v="2"/>
    <x v="1"/>
    <x v="12"/>
    <s v="J'ai des idées"/>
    <s v="non"/>
    <s v="oui"/>
    <m/>
    <m/>
    <m/>
    <m/>
    <s v="collectif"/>
    <x v="5"/>
    <m/>
    <m/>
    <x v="1"/>
  </r>
  <r>
    <x v="81"/>
    <s v="hors-planning"/>
    <x v="2"/>
    <x v="1"/>
    <x v="12"/>
    <s v="Je sais"/>
    <s v="non"/>
    <s v="oui"/>
    <m/>
    <m/>
    <m/>
    <m/>
    <m/>
    <x v="0"/>
    <m/>
    <m/>
    <x v="1"/>
  </r>
  <r>
    <x v="82"/>
    <s v="hors-planning"/>
    <x v="0"/>
    <x v="1"/>
    <x v="11"/>
    <s v="J'y vais"/>
    <s v="non"/>
    <s v="oui"/>
    <m/>
    <m/>
    <m/>
    <m/>
    <m/>
    <x v="0"/>
    <m/>
    <m/>
    <x v="1"/>
  </r>
  <r>
    <x v="83"/>
    <s v="hors-planning"/>
    <x v="0"/>
    <x v="4"/>
    <x v="11"/>
    <s v="J'y vais"/>
    <s v="non"/>
    <s v="oui"/>
    <m/>
    <m/>
    <m/>
    <m/>
    <m/>
    <x v="0"/>
    <m/>
    <m/>
    <x v="1"/>
  </r>
  <r>
    <x v="84"/>
    <s v="hors-planning"/>
    <x v="0"/>
    <x v="1"/>
    <x v="11"/>
    <s v="J'y vais"/>
    <s v="non"/>
    <s v="oui"/>
    <m/>
    <m/>
    <m/>
    <m/>
    <m/>
    <x v="2"/>
    <m/>
    <m/>
    <x v="1"/>
  </r>
  <r>
    <x v="85"/>
    <s v="hors-planning"/>
    <x v="0"/>
    <x v="1"/>
    <x v="11"/>
    <s v="J'ai des idées"/>
    <s v="non"/>
    <s v="oui"/>
    <m/>
    <m/>
    <m/>
    <m/>
    <m/>
    <x v="5"/>
    <m/>
    <m/>
    <x v="1"/>
  </r>
  <r>
    <x v="86"/>
    <s v="hors-planning"/>
    <x v="2"/>
    <x v="1"/>
    <x v="12"/>
    <s v="J'ai des idées"/>
    <s v="non"/>
    <s v="oui"/>
    <m/>
    <m/>
    <m/>
    <m/>
    <m/>
    <x v="0"/>
    <m/>
    <m/>
    <x v="1"/>
  </r>
  <r>
    <x v="87"/>
    <s v="hors-planning"/>
    <x v="2"/>
    <x v="1"/>
    <x v="12"/>
    <s v="J'ai des idées"/>
    <s v="non"/>
    <s v="oui"/>
    <m/>
    <m/>
    <m/>
    <m/>
    <s v="individuel"/>
    <x v="2"/>
    <m/>
    <m/>
    <x v="1"/>
  </r>
  <r>
    <x v="88"/>
    <s v="hors-planning"/>
    <x v="2"/>
    <x v="1"/>
    <x v="12"/>
    <s v="J'explore"/>
    <s v="non"/>
    <s v="oui"/>
    <m/>
    <m/>
    <m/>
    <m/>
    <s v="individuel"/>
    <x v="1"/>
    <m/>
    <m/>
    <x v="1"/>
  </r>
  <r>
    <x v="89"/>
    <s v="hors-planning"/>
    <x v="2"/>
    <x v="1"/>
    <x v="12"/>
    <s v="J'ai des idées"/>
    <s v="non"/>
    <s v="oui"/>
    <m/>
    <m/>
    <m/>
    <m/>
    <s v="individuel"/>
    <x v="2"/>
    <m/>
    <m/>
    <x v="1"/>
  </r>
  <r>
    <x v="90"/>
    <s v="hors-planning"/>
    <x v="2"/>
    <x v="1"/>
    <x v="12"/>
    <s v="J'explore"/>
    <s v="non"/>
    <s v="oui"/>
    <m/>
    <m/>
    <m/>
    <m/>
    <s v="individuel"/>
    <x v="1"/>
    <m/>
    <m/>
    <x v="1"/>
  </r>
  <r>
    <x v="91"/>
    <s v="hors-planning"/>
    <x v="2"/>
    <x v="1"/>
    <x v="12"/>
    <s v="J'explore"/>
    <s v="non"/>
    <s v="oui"/>
    <m/>
    <m/>
    <m/>
    <m/>
    <s v="individuel"/>
    <x v="1"/>
    <m/>
    <m/>
    <x v="1"/>
  </r>
  <r>
    <x v="92"/>
    <s v="hors-planning"/>
    <x v="0"/>
    <x v="1"/>
    <x v="11"/>
    <s v="Je sais"/>
    <s v="non"/>
    <s v="oui"/>
    <m/>
    <m/>
    <m/>
    <m/>
    <s v="mixte"/>
    <x v="0"/>
    <m/>
    <m/>
    <x v="1"/>
  </r>
  <r>
    <x v="93"/>
    <s v="hors-planning"/>
    <x v="0"/>
    <x v="1"/>
    <x v="11"/>
    <s v="J'y vais"/>
    <s v="non"/>
    <s v="oui"/>
    <m/>
    <m/>
    <m/>
    <m/>
    <s v="collectif"/>
    <x v="0"/>
    <m/>
    <m/>
    <x v="1"/>
  </r>
  <r>
    <x v="94"/>
    <s v="planning"/>
    <x v="0"/>
    <x v="2"/>
    <x v="7"/>
    <s v="INTEGRATION"/>
    <s v="oui"/>
    <s v="oui"/>
    <s v="oui"/>
    <s v="1 Ref Péda"/>
    <s v="oui"/>
    <m/>
    <s v="collectif"/>
    <x v="0"/>
    <s v="C - Les métiers en tension"/>
    <s v="oui"/>
    <x v="0"/>
  </r>
  <r>
    <x v="95"/>
    <s v="hors-planning"/>
    <x v="0"/>
    <x v="1"/>
    <x v="7"/>
    <s v="TRONC COMMUN"/>
    <s v="non"/>
    <s v="oui"/>
    <s v="oui"/>
    <m/>
    <m/>
    <m/>
    <m/>
    <x v="0"/>
    <m/>
    <m/>
    <x v="1"/>
  </r>
  <r>
    <x v="96"/>
    <s v="planning"/>
    <x v="1"/>
    <x v="2"/>
    <x v="17"/>
    <s v="INTEGRATION"/>
    <s v="oui"/>
    <s v="oui"/>
    <m/>
    <m/>
    <m/>
    <m/>
    <s v="collectif"/>
    <x v="0"/>
    <m/>
    <m/>
    <x v="1"/>
  </r>
  <r>
    <x v="97"/>
    <s v="planning"/>
    <x v="0"/>
    <x v="2"/>
    <x v="18"/>
    <s v="INTEGRATION"/>
    <s v="oui"/>
    <s v="oui"/>
    <s v="oui"/>
    <s v="1 Ref Péda"/>
    <s v="oui"/>
    <s v="video-projecteur"/>
    <m/>
    <x v="0"/>
    <s v="16 - Tenue Professionnelle"/>
    <s v="oui"/>
    <x v="0"/>
  </r>
  <r>
    <x v="98"/>
    <s v="planning"/>
    <x v="5"/>
    <x v="2"/>
    <x v="9"/>
    <m/>
    <s v="oui"/>
    <s v="oui"/>
    <m/>
    <m/>
    <m/>
    <m/>
    <s v="individuel"/>
    <x v="0"/>
    <m/>
    <m/>
    <x v="1"/>
  </r>
  <r>
    <x v="99"/>
    <s v="hors-planning"/>
    <x v="2"/>
    <x v="1"/>
    <x v="12"/>
    <s v="J'explore"/>
    <s v="non"/>
    <s v="non"/>
    <m/>
    <m/>
    <m/>
    <m/>
    <m/>
    <x v="0"/>
    <m/>
    <m/>
    <x v="1"/>
  </r>
  <r>
    <x v="100"/>
    <s v="hors-planning"/>
    <x v="2"/>
    <x v="1"/>
    <x v="12"/>
    <s v="J'ai des idées"/>
    <s v="non"/>
    <s v="non"/>
    <m/>
    <m/>
    <m/>
    <m/>
    <m/>
    <x v="0"/>
    <m/>
    <m/>
    <x v="1"/>
  </r>
  <r>
    <x v="101"/>
    <s v="hors-planning"/>
    <x v="2"/>
    <x v="1"/>
    <x v="12"/>
    <s v="J'ai des idées"/>
    <s v="non"/>
    <s v="non"/>
    <m/>
    <m/>
    <m/>
    <m/>
    <m/>
    <x v="1"/>
    <m/>
    <m/>
    <x v="1"/>
  </r>
  <r>
    <x v="102"/>
    <s v="hors-planning"/>
    <x v="2"/>
    <x v="1"/>
    <x v="12"/>
    <s v="Je sais"/>
    <s v="non"/>
    <s v="non"/>
    <m/>
    <m/>
    <m/>
    <m/>
    <m/>
    <x v="5"/>
    <m/>
    <m/>
    <x v="1"/>
  </r>
  <r>
    <x v="103"/>
    <s v="hors-planning"/>
    <x v="2"/>
    <x v="1"/>
    <x v="12"/>
    <s v="Je sais"/>
    <s v="non"/>
    <s v="non"/>
    <m/>
    <m/>
    <m/>
    <m/>
    <s v="individuel"/>
    <x v="2"/>
    <m/>
    <m/>
    <x v="1"/>
  </r>
  <r>
    <x v="104"/>
    <s v="hors-planning"/>
    <x v="2"/>
    <x v="1"/>
    <x v="12"/>
    <s v="Je sais"/>
    <s v="non"/>
    <s v="non"/>
    <m/>
    <m/>
    <m/>
    <m/>
    <s v="individuel"/>
    <x v="0"/>
    <m/>
    <m/>
    <x v="1"/>
  </r>
  <r>
    <x v="105"/>
    <s v="hors-planning"/>
    <x v="2"/>
    <x v="1"/>
    <x v="12"/>
    <s v="J'y vais"/>
    <s v="non"/>
    <s v="non"/>
    <m/>
    <m/>
    <m/>
    <m/>
    <s v="mixte"/>
    <x v="2"/>
    <m/>
    <m/>
    <x v="1"/>
  </r>
  <r>
    <x v="106"/>
    <s v="planning"/>
    <x v="5"/>
    <x v="0"/>
    <x v="16"/>
    <m/>
    <s v="oui"/>
    <m/>
    <m/>
    <m/>
    <m/>
    <m/>
    <s v="mixte"/>
    <x v="2"/>
    <m/>
    <m/>
    <x v="1"/>
  </r>
  <r>
    <x v="107"/>
    <s v="planning"/>
    <x v="0"/>
    <x v="0"/>
    <x v="11"/>
    <m/>
    <s v="non"/>
    <m/>
    <m/>
    <m/>
    <m/>
    <m/>
    <s v="individuel"/>
    <x v="2"/>
    <m/>
    <m/>
    <x v="1"/>
  </r>
  <r>
    <x v="108"/>
    <s v="hors-planning"/>
    <x v="4"/>
    <x v="0"/>
    <x v="10"/>
    <s v="Expression orale"/>
    <s v="non"/>
    <s v="non"/>
    <m/>
    <m/>
    <m/>
    <m/>
    <s v="collectif"/>
    <x v="5"/>
    <m/>
    <m/>
    <x v="1"/>
  </r>
  <r>
    <x v="109"/>
    <s v="hors-planning"/>
    <x v="4"/>
    <x v="0"/>
    <x v="10"/>
    <s v="Expression orale"/>
    <s v="non"/>
    <s v="non"/>
    <m/>
    <m/>
    <m/>
    <m/>
    <s v="collectif"/>
    <x v="5"/>
    <m/>
    <m/>
    <x v="1"/>
  </r>
  <r>
    <x v="110"/>
    <s v="hors-planning"/>
    <x v="4"/>
    <x v="0"/>
    <x v="10"/>
    <s v="Expression orale"/>
    <s v="non"/>
    <s v="non"/>
    <m/>
    <m/>
    <m/>
    <m/>
    <s v="collectif"/>
    <x v="5"/>
    <m/>
    <m/>
    <x v="1"/>
  </r>
  <r>
    <x v="111"/>
    <s v="hors-planning"/>
    <x v="4"/>
    <x v="0"/>
    <x v="10"/>
    <s v="Expression orale"/>
    <s v="non"/>
    <s v="non"/>
    <m/>
    <m/>
    <m/>
    <m/>
    <s v="collectif"/>
    <x v="5"/>
    <m/>
    <m/>
    <x v="1"/>
  </r>
  <r>
    <x v="112"/>
    <s v="hors-planning"/>
    <x v="4"/>
    <x v="0"/>
    <x v="10"/>
    <s v="Expression orale"/>
    <s v="non"/>
    <s v="non"/>
    <m/>
    <m/>
    <m/>
    <m/>
    <s v="collectif"/>
    <x v="5"/>
    <m/>
    <m/>
    <x v="1"/>
  </r>
  <r>
    <x v="113"/>
    <s v="hors-planning"/>
    <x v="4"/>
    <x v="0"/>
    <x v="10"/>
    <s v="Expression orale"/>
    <s v="non"/>
    <s v="non"/>
    <m/>
    <m/>
    <m/>
    <m/>
    <s v="collectif"/>
    <x v="5"/>
    <m/>
    <m/>
    <x v="1"/>
  </r>
  <r>
    <x v="114"/>
    <s v="hors-planning"/>
    <x v="4"/>
    <x v="0"/>
    <x v="10"/>
    <s v="Expression orale"/>
    <s v="non"/>
    <s v="non"/>
    <m/>
    <m/>
    <m/>
    <m/>
    <s v="collectif"/>
    <x v="5"/>
    <m/>
    <m/>
    <x v="1"/>
  </r>
  <r>
    <x v="115"/>
    <s v="planning"/>
    <x v="4"/>
    <x v="1"/>
    <x v="10"/>
    <s v="Math"/>
    <s v="non"/>
    <s v="non"/>
    <m/>
    <m/>
    <m/>
    <m/>
    <s v="mixte"/>
    <x v="3"/>
    <m/>
    <m/>
    <x v="1"/>
  </r>
  <r>
    <x v="116"/>
    <s v="hors-planning"/>
    <x v="4"/>
    <x v="0"/>
    <x v="10"/>
    <s v="Français"/>
    <s v="non"/>
    <s v="non"/>
    <m/>
    <m/>
    <m/>
    <m/>
    <s v="individuel"/>
    <x v="3"/>
    <m/>
    <m/>
    <x v="1"/>
  </r>
  <r>
    <x v="117"/>
    <s v="hors-planning"/>
    <x v="4"/>
    <x v="0"/>
    <x v="10"/>
    <s v="Français"/>
    <s v="non"/>
    <s v="non"/>
    <m/>
    <m/>
    <m/>
    <m/>
    <s v="individuel"/>
    <x v="3"/>
    <m/>
    <m/>
    <x v="1"/>
  </r>
  <r>
    <x v="118"/>
    <s v="hors-planning"/>
    <x v="4"/>
    <x v="0"/>
    <x v="10"/>
    <s v="Français"/>
    <s v="non"/>
    <s v="non"/>
    <m/>
    <m/>
    <m/>
    <m/>
    <s v="individuel"/>
    <x v="3"/>
    <m/>
    <m/>
    <x v="1"/>
  </r>
  <r>
    <x v="119"/>
    <s v="hors-planning"/>
    <x v="4"/>
    <x v="0"/>
    <x v="10"/>
    <s v="Français"/>
    <s v="non"/>
    <s v="non"/>
    <m/>
    <m/>
    <m/>
    <m/>
    <s v="individuel"/>
    <x v="3"/>
    <m/>
    <m/>
    <x v="1"/>
  </r>
  <r>
    <x v="120"/>
    <s v="hors-planning"/>
    <x v="4"/>
    <x v="0"/>
    <x v="10"/>
    <s v="Français"/>
    <s v="non"/>
    <s v="non"/>
    <m/>
    <m/>
    <m/>
    <m/>
    <s v="individuel"/>
    <x v="3"/>
    <m/>
    <m/>
    <x v="1"/>
  </r>
  <r>
    <x v="121"/>
    <s v="hors-planning"/>
    <x v="4"/>
    <x v="0"/>
    <x v="10"/>
    <s v="Français"/>
    <s v="non"/>
    <s v="non"/>
    <m/>
    <m/>
    <m/>
    <m/>
    <s v="individuel"/>
    <x v="3"/>
    <m/>
    <m/>
    <x v="1"/>
  </r>
  <r>
    <x v="122"/>
    <s v="hors-planning"/>
    <x v="4"/>
    <x v="0"/>
    <x v="10"/>
    <s v="Français"/>
    <s v="non"/>
    <s v="non"/>
    <m/>
    <m/>
    <m/>
    <m/>
    <s v="individuel"/>
    <x v="3"/>
    <m/>
    <m/>
    <x v="1"/>
  </r>
  <r>
    <x v="123"/>
    <s v="hors-planning"/>
    <x v="4"/>
    <x v="0"/>
    <x v="10"/>
    <s v="Français"/>
    <s v="non"/>
    <s v="non"/>
    <m/>
    <m/>
    <m/>
    <m/>
    <s v="individuel"/>
    <x v="3"/>
    <m/>
    <m/>
    <x v="1"/>
  </r>
  <r>
    <x v="124"/>
    <s v="hors-planning"/>
    <x v="4"/>
    <x v="0"/>
    <x v="10"/>
    <s v="Français"/>
    <s v="non"/>
    <s v="non"/>
    <m/>
    <m/>
    <m/>
    <m/>
    <s v="individuel"/>
    <x v="3"/>
    <m/>
    <m/>
    <x v="1"/>
  </r>
  <r>
    <x v="125"/>
    <s v="hors-planning"/>
    <x v="4"/>
    <x v="0"/>
    <x v="10"/>
    <s v="Français"/>
    <s v="non"/>
    <s v="non"/>
    <m/>
    <m/>
    <m/>
    <m/>
    <s v="individuel"/>
    <x v="3"/>
    <m/>
    <m/>
    <x v="1"/>
  </r>
  <r>
    <x v="126"/>
    <s v="hors-planning"/>
    <x v="4"/>
    <x v="0"/>
    <x v="10"/>
    <s v="Français"/>
    <s v="non"/>
    <s v="non"/>
    <m/>
    <m/>
    <m/>
    <m/>
    <s v="individuel"/>
    <x v="3"/>
    <m/>
    <m/>
    <x v="1"/>
  </r>
  <r>
    <x v="127"/>
    <s v="hors-planning"/>
    <x v="4"/>
    <x v="0"/>
    <x v="10"/>
    <s v="Français"/>
    <s v="non"/>
    <s v="non"/>
    <m/>
    <m/>
    <m/>
    <m/>
    <s v="individuel"/>
    <x v="3"/>
    <m/>
    <m/>
    <x v="1"/>
  </r>
  <r>
    <x v="128"/>
    <s v="hors-planning"/>
    <x v="4"/>
    <x v="0"/>
    <x v="10"/>
    <s v="Français"/>
    <s v="non"/>
    <s v="non"/>
    <m/>
    <m/>
    <m/>
    <m/>
    <s v="individuel"/>
    <x v="3"/>
    <m/>
    <m/>
    <x v="1"/>
  </r>
  <r>
    <x v="129"/>
    <s v="hors-planning"/>
    <x v="4"/>
    <x v="0"/>
    <x v="10"/>
    <s v="Français"/>
    <s v="non"/>
    <s v="non"/>
    <m/>
    <m/>
    <m/>
    <m/>
    <s v="individuel"/>
    <x v="3"/>
    <m/>
    <m/>
    <x v="1"/>
  </r>
  <r>
    <x v="130"/>
    <s v="hors-planning"/>
    <x v="4"/>
    <x v="0"/>
    <x v="10"/>
    <s v="Français"/>
    <s v="non"/>
    <s v="non"/>
    <m/>
    <m/>
    <m/>
    <m/>
    <s v="individuel"/>
    <x v="3"/>
    <m/>
    <m/>
    <x v="1"/>
  </r>
  <r>
    <x v="131"/>
    <s v="hors-planning"/>
    <x v="4"/>
    <x v="0"/>
    <x v="10"/>
    <s v="Français"/>
    <s v="non"/>
    <s v="non"/>
    <m/>
    <m/>
    <m/>
    <m/>
    <s v="individuel"/>
    <x v="3"/>
    <m/>
    <m/>
    <x v="1"/>
  </r>
  <r>
    <x v="132"/>
    <s v="hors-planning"/>
    <x v="4"/>
    <x v="0"/>
    <x v="10"/>
    <s v="Français"/>
    <s v="non"/>
    <s v="non"/>
    <m/>
    <m/>
    <m/>
    <m/>
    <s v="individuel"/>
    <x v="3"/>
    <m/>
    <m/>
    <x v="1"/>
  </r>
  <r>
    <x v="133"/>
    <s v="hors-planning"/>
    <x v="4"/>
    <x v="0"/>
    <x v="10"/>
    <s v="Français"/>
    <s v="non"/>
    <s v="non"/>
    <m/>
    <m/>
    <m/>
    <m/>
    <s v="individuel"/>
    <x v="3"/>
    <m/>
    <m/>
    <x v="1"/>
  </r>
  <r>
    <x v="134"/>
    <s v="hors-planning"/>
    <x v="4"/>
    <x v="0"/>
    <x v="10"/>
    <s v="Français"/>
    <s v="non"/>
    <s v="non"/>
    <m/>
    <m/>
    <m/>
    <m/>
    <s v="individuel"/>
    <x v="3"/>
    <m/>
    <m/>
    <x v="1"/>
  </r>
  <r>
    <x v="135"/>
    <s v="hors-planning"/>
    <x v="4"/>
    <x v="0"/>
    <x v="10"/>
    <s v="Français"/>
    <s v="non"/>
    <s v="non"/>
    <m/>
    <m/>
    <m/>
    <m/>
    <s v="individuel"/>
    <x v="3"/>
    <m/>
    <m/>
    <x v="1"/>
  </r>
  <r>
    <x v="136"/>
    <s v="hors-planning"/>
    <x v="4"/>
    <x v="0"/>
    <x v="10"/>
    <s v="Français"/>
    <s v="non"/>
    <s v="non"/>
    <m/>
    <m/>
    <m/>
    <m/>
    <s v="individuel"/>
    <x v="3"/>
    <m/>
    <m/>
    <x v="1"/>
  </r>
  <r>
    <x v="137"/>
    <s v="hors-planning"/>
    <x v="4"/>
    <x v="0"/>
    <x v="10"/>
    <s v="Français"/>
    <s v="non"/>
    <s v="non"/>
    <m/>
    <m/>
    <m/>
    <m/>
    <s v="individuel"/>
    <x v="3"/>
    <m/>
    <m/>
    <x v="1"/>
  </r>
  <r>
    <x v="138"/>
    <s v="hors-planning"/>
    <x v="4"/>
    <x v="0"/>
    <x v="10"/>
    <s v="Français"/>
    <s v="non"/>
    <s v="non"/>
    <m/>
    <m/>
    <m/>
    <m/>
    <s v="individuel"/>
    <x v="3"/>
    <m/>
    <m/>
    <x v="1"/>
  </r>
  <r>
    <x v="139"/>
    <s v="hors-planning"/>
    <x v="4"/>
    <x v="0"/>
    <x v="10"/>
    <s v="Français"/>
    <s v="non"/>
    <s v="non"/>
    <m/>
    <m/>
    <m/>
    <m/>
    <s v="individuel"/>
    <x v="3"/>
    <m/>
    <m/>
    <x v="1"/>
  </r>
  <r>
    <x v="140"/>
    <s v="hors-planning"/>
    <x v="4"/>
    <x v="0"/>
    <x v="10"/>
    <s v="Français"/>
    <s v="non"/>
    <s v="non"/>
    <m/>
    <m/>
    <m/>
    <m/>
    <s v="individuel"/>
    <x v="3"/>
    <m/>
    <m/>
    <x v="1"/>
  </r>
  <r>
    <x v="141"/>
    <s v="hors-planning"/>
    <x v="4"/>
    <x v="0"/>
    <x v="10"/>
    <s v="Français"/>
    <s v="non"/>
    <s v="non"/>
    <m/>
    <m/>
    <m/>
    <m/>
    <s v="individuel"/>
    <x v="3"/>
    <m/>
    <m/>
    <x v="1"/>
  </r>
  <r>
    <x v="142"/>
    <s v="hors-planning"/>
    <x v="4"/>
    <x v="0"/>
    <x v="10"/>
    <s v="Français"/>
    <s v="non"/>
    <s v="non"/>
    <m/>
    <m/>
    <m/>
    <m/>
    <s v="individuel"/>
    <x v="3"/>
    <m/>
    <m/>
    <x v="1"/>
  </r>
  <r>
    <x v="143"/>
    <s v="hors-planning"/>
    <x v="4"/>
    <x v="0"/>
    <x v="10"/>
    <s v="Français"/>
    <s v="non"/>
    <s v="non"/>
    <m/>
    <m/>
    <m/>
    <m/>
    <s v="individuel"/>
    <x v="3"/>
    <m/>
    <m/>
    <x v="1"/>
  </r>
  <r>
    <x v="144"/>
    <s v="hors-planning"/>
    <x v="4"/>
    <x v="0"/>
    <x v="10"/>
    <s v="Français"/>
    <s v="non"/>
    <s v="non"/>
    <m/>
    <m/>
    <m/>
    <m/>
    <s v="individuel"/>
    <x v="3"/>
    <m/>
    <m/>
    <x v="1"/>
  </r>
  <r>
    <x v="145"/>
    <s v="hors-planning"/>
    <x v="4"/>
    <x v="0"/>
    <x v="10"/>
    <s v="Français"/>
    <s v="non"/>
    <s v="non"/>
    <m/>
    <m/>
    <m/>
    <m/>
    <s v="individuel"/>
    <x v="3"/>
    <m/>
    <m/>
    <x v="1"/>
  </r>
  <r>
    <x v="146"/>
    <s v="hors-planning"/>
    <x v="4"/>
    <x v="0"/>
    <x v="10"/>
    <s v="Français"/>
    <s v="non"/>
    <s v="non"/>
    <m/>
    <m/>
    <m/>
    <m/>
    <s v="individuel"/>
    <x v="3"/>
    <m/>
    <m/>
    <x v="1"/>
  </r>
  <r>
    <x v="147"/>
    <s v="hors-planning"/>
    <x v="4"/>
    <x v="0"/>
    <x v="10"/>
    <s v="Français"/>
    <s v="non"/>
    <s v="non"/>
    <m/>
    <m/>
    <m/>
    <m/>
    <s v="individuel"/>
    <x v="3"/>
    <m/>
    <m/>
    <x v="1"/>
  </r>
  <r>
    <x v="148"/>
    <s v="hors-planning"/>
    <x v="4"/>
    <x v="0"/>
    <x v="10"/>
    <s v="Français"/>
    <s v="non"/>
    <s v="non"/>
    <m/>
    <m/>
    <m/>
    <m/>
    <s v="individuel"/>
    <x v="3"/>
    <m/>
    <m/>
    <x v="1"/>
  </r>
  <r>
    <x v="149"/>
    <s v="hors-planning"/>
    <x v="4"/>
    <x v="0"/>
    <x v="10"/>
    <s v="Français"/>
    <s v="non"/>
    <s v="non"/>
    <m/>
    <m/>
    <m/>
    <m/>
    <s v="individuel"/>
    <x v="3"/>
    <m/>
    <m/>
    <x v="1"/>
  </r>
  <r>
    <x v="150"/>
    <s v="hors-planning"/>
    <x v="4"/>
    <x v="0"/>
    <x v="10"/>
    <s v="Français"/>
    <s v="non"/>
    <s v="non"/>
    <m/>
    <m/>
    <m/>
    <m/>
    <s v="individuel"/>
    <x v="3"/>
    <m/>
    <m/>
    <x v="1"/>
  </r>
  <r>
    <x v="151"/>
    <s v="hors-planning"/>
    <x v="4"/>
    <x v="0"/>
    <x v="10"/>
    <s v="Français"/>
    <s v="non"/>
    <s v="non"/>
    <m/>
    <m/>
    <m/>
    <m/>
    <s v="individuel"/>
    <x v="3"/>
    <m/>
    <m/>
    <x v="1"/>
  </r>
  <r>
    <x v="152"/>
    <s v="hors-planning"/>
    <x v="4"/>
    <x v="0"/>
    <x v="10"/>
    <s v="Français"/>
    <s v="non"/>
    <s v="non"/>
    <m/>
    <m/>
    <m/>
    <m/>
    <s v="individuel"/>
    <x v="3"/>
    <m/>
    <m/>
    <x v="1"/>
  </r>
  <r>
    <x v="153"/>
    <s v="hors-planning"/>
    <x v="4"/>
    <x v="0"/>
    <x v="10"/>
    <s v="Français"/>
    <s v="non"/>
    <s v="non"/>
    <m/>
    <m/>
    <m/>
    <m/>
    <s v="individuel"/>
    <x v="3"/>
    <m/>
    <m/>
    <x v="1"/>
  </r>
  <r>
    <x v="154"/>
    <s v="hors-planning"/>
    <x v="4"/>
    <x v="0"/>
    <x v="10"/>
    <s v="Français"/>
    <s v="non"/>
    <s v="non"/>
    <m/>
    <m/>
    <m/>
    <m/>
    <s v="individuel"/>
    <x v="3"/>
    <m/>
    <m/>
    <x v="1"/>
  </r>
  <r>
    <x v="155"/>
    <s v="hors-planning"/>
    <x v="4"/>
    <x v="0"/>
    <x v="10"/>
    <s v="Français"/>
    <s v="non"/>
    <s v="non"/>
    <m/>
    <m/>
    <m/>
    <m/>
    <s v="individuel"/>
    <x v="3"/>
    <m/>
    <m/>
    <x v="1"/>
  </r>
  <r>
    <x v="156"/>
    <s v="planning"/>
    <x v="4"/>
    <x v="2"/>
    <x v="9"/>
    <m/>
    <s v="non"/>
    <s v="non"/>
    <m/>
    <m/>
    <m/>
    <m/>
    <s v="individuel"/>
    <x v="3"/>
    <m/>
    <m/>
    <x v="1"/>
  </r>
  <r>
    <x v="157"/>
    <s v="hors-planning"/>
    <x v="4"/>
    <x v="0"/>
    <x v="10"/>
    <s v="Informatique"/>
    <s v="non"/>
    <s v="non"/>
    <m/>
    <m/>
    <m/>
    <m/>
    <s v="individuel"/>
    <x v="3"/>
    <m/>
    <m/>
    <x v="1"/>
  </r>
  <r>
    <x v="158"/>
    <s v="hors-planning"/>
    <x v="4"/>
    <x v="0"/>
    <x v="10"/>
    <s v="Informatique"/>
    <s v="non"/>
    <s v="non"/>
    <m/>
    <m/>
    <m/>
    <m/>
    <s v="individuel"/>
    <x v="3"/>
    <m/>
    <m/>
    <x v="1"/>
  </r>
  <r>
    <x v="159"/>
    <s v="hors-planning"/>
    <x v="4"/>
    <x v="0"/>
    <x v="10"/>
    <s v="Informatique"/>
    <s v="non"/>
    <s v="non"/>
    <m/>
    <m/>
    <m/>
    <m/>
    <s v="individuel"/>
    <x v="3"/>
    <m/>
    <m/>
    <x v="1"/>
  </r>
  <r>
    <x v="160"/>
    <s v="hors-planning"/>
    <x v="4"/>
    <x v="0"/>
    <x v="10"/>
    <s v="Informatique"/>
    <s v="non"/>
    <s v="non"/>
    <m/>
    <m/>
    <m/>
    <m/>
    <s v="individuel"/>
    <x v="3"/>
    <m/>
    <m/>
    <x v="1"/>
  </r>
  <r>
    <x v="161"/>
    <s v="hors-planning"/>
    <x v="4"/>
    <x v="0"/>
    <x v="10"/>
    <s v="Informatique"/>
    <s v="non"/>
    <s v="non"/>
    <m/>
    <m/>
    <m/>
    <m/>
    <s v="individuel"/>
    <x v="3"/>
    <m/>
    <m/>
    <x v="1"/>
  </r>
  <r>
    <x v="162"/>
    <s v="hors-planning"/>
    <x v="4"/>
    <x v="0"/>
    <x v="10"/>
    <s v="Informatique"/>
    <s v="non"/>
    <s v="non"/>
    <m/>
    <m/>
    <m/>
    <m/>
    <s v="individuel"/>
    <x v="3"/>
    <m/>
    <m/>
    <x v="1"/>
  </r>
  <r>
    <x v="163"/>
    <s v="hors-planning"/>
    <x v="4"/>
    <x v="0"/>
    <x v="10"/>
    <s v="Informatique"/>
    <s v="non"/>
    <s v="non"/>
    <m/>
    <m/>
    <m/>
    <m/>
    <s v="individuel"/>
    <x v="3"/>
    <m/>
    <m/>
    <x v="1"/>
  </r>
  <r>
    <x v="164"/>
    <s v="hors-planning"/>
    <x v="4"/>
    <x v="0"/>
    <x v="10"/>
    <s v="Informatique"/>
    <s v="non"/>
    <s v="non"/>
    <m/>
    <m/>
    <m/>
    <m/>
    <s v="individuel"/>
    <x v="3"/>
    <m/>
    <m/>
    <x v="1"/>
  </r>
  <r>
    <x v="165"/>
    <s v="hors-planning"/>
    <x v="4"/>
    <x v="0"/>
    <x v="10"/>
    <s v="Informatique"/>
    <s v="non"/>
    <s v="non"/>
    <m/>
    <m/>
    <m/>
    <m/>
    <s v="individuel"/>
    <x v="3"/>
    <m/>
    <m/>
    <x v="1"/>
  </r>
  <r>
    <x v="166"/>
    <s v="hors-planning"/>
    <x v="4"/>
    <x v="0"/>
    <x v="10"/>
    <s v="Informatique"/>
    <s v="non"/>
    <s v="non"/>
    <m/>
    <m/>
    <m/>
    <m/>
    <s v="individuel"/>
    <x v="3"/>
    <m/>
    <m/>
    <x v="1"/>
  </r>
  <r>
    <x v="167"/>
    <s v="hors-planning"/>
    <x v="4"/>
    <x v="0"/>
    <x v="10"/>
    <s v="Informatique"/>
    <s v="non"/>
    <s v="non"/>
    <m/>
    <m/>
    <m/>
    <m/>
    <s v="individuel"/>
    <x v="3"/>
    <m/>
    <m/>
    <x v="1"/>
  </r>
  <r>
    <x v="168"/>
    <s v="hors-planning"/>
    <x v="4"/>
    <x v="0"/>
    <x v="10"/>
    <s v="Informatique"/>
    <s v="non"/>
    <s v="non"/>
    <m/>
    <m/>
    <m/>
    <m/>
    <s v="individuel"/>
    <x v="3"/>
    <m/>
    <m/>
    <x v="1"/>
  </r>
  <r>
    <x v="169"/>
    <s v="hors-planning"/>
    <x v="4"/>
    <x v="0"/>
    <x v="10"/>
    <s v="Informatique"/>
    <s v="non"/>
    <s v="non"/>
    <m/>
    <m/>
    <m/>
    <m/>
    <s v="individuel"/>
    <x v="3"/>
    <m/>
    <m/>
    <x v="1"/>
  </r>
  <r>
    <x v="170"/>
    <s v="hors-planning"/>
    <x v="4"/>
    <x v="0"/>
    <x v="10"/>
    <s v="Informatique"/>
    <s v="non"/>
    <s v="non"/>
    <m/>
    <m/>
    <m/>
    <m/>
    <s v="individuel"/>
    <x v="3"/>
    <m/>
    <m/>
    <x v="1"/>
  </r>
  <r>
    <x v="171"/>
    <s v="hors-planning"/>
    <x v="4"/>
    <x v="0"/>
    <x v="10"/>
    <s v="Informatique"/>
    <s v="non"/>
    <s v="non"/>
    <m/>
    <m/>
    <m/>
    <m/>
    <s v="individuel"/>
    <x v="3"/>
    <m/>
    <m/>
    <x v="1"/>
  </r>
  <r>
    <x v="172"/>
    <s v="hors-planning"/>
    <x v="4"/>
    <x v="0"/>
    <x v="10"/>
    <s v="Informatique"/>
    <s v="non"/>
    <s v="non"/>
    <m/>
    <m/>
    <m/>
    <m/>
    <s v="individuel"/>
    <x v="3"/>
    <m/>
    <m/>
    <x v="1"/>
  </r>
  <r>
    <x v="173"/>
    <s v="hors-planning"/>
    <x v="4"/>
    <x v="0"/>
    <x v="10"/>
    <s v="Informatique"/>
    <s v="non"/>
    <s v="non"/>
    <m/>
    <m/>
    <m/>
    <m/>
    <s v="individuel"/>
    <x v="3"/>
    <m/>
    <m/>
    <x v="1"/>
  </r>
  <r>
    <x v="174"/>
    <s v="hors-planning"/>
    <x v="4"/>
    <x v="0"/>
    <x v="10"/>
    <s v="Informatique"/>
    <s v="non"/>
    <s v="non"/>
    <m/>
    <m/>
    <m/>
    <m/>
    <s v="individuel"/>
    <x v="3"/>
    <m/>
    <m/>
    <x v="1"/>
  </r>
  <r>
    <x v="175"/>
    <s v="hors-planning"/>
    <x v="4"/>
    <x v="0"/>
    <x v="10"/>
    <s v="Informatique"/>
    <s v="non"/>
    <s v="non"/>
    <m/>
    <m/>
    <m/>
    <m/>
    <s v="individuel"/>
    <x v="3"/>
    <m/>
    <m/>
    <x v="1"/>
  </r>
  <r>
    <x v="176"/>
    <s v="hors-planning"/>
    <x v="4"/>
    <x v="0"/>
    <x v="10"/>
    <s v="Informatique"/>
    <s v="non"/>
    <s v="non"/>
    <m/>
    <m/>
    <m/>
    <m/>
    <s v="individuel"/>
    <x v="3"/>
    <m/>
    <m/>
    <x v="1"/>
  </r>
  <r>
    <x v="177"/>
    <s v="hors-planning"/>
    <x v="4"/>
    <x v="0"/>
    <x v="10"/>
    <s v="Informatique"/>
    <s v="non"/>
    <s v="non"/>
    <m/>
    <m/>
    <m/>
    <m/>
    <s v="individuel"/>
    <x v="3"/>
    <m/>
    <m/>
    <x v="1"/>
  </r>
  <r>
    <x v="178"/>
    <s v="hors-planning"/>
    <x v="4"/>
    <x v="0"/>
    <x v="10"/>
    <s v="Informatique"/>
    <s v="non"/>
    <s v="non"/>
    <m/>
    <m/>
    <m/>
    <m/>
    <s v="individuel"/>
    <x v="3"/>
    <m/>
    <m/>
    <x v="1"/>
  </r>
  <r>
    <x v="179"/>
    <s v="hors-planning"/>
    <x v="4"/>
    <x v="0"/>
    <x v="10"/>
    <s v="Informatique"/>
    <s v="non"/>
    <s v="non"/>
    <m/>
    <m/>
    <m/>
    <m/>
    <s v="individuel"/>
    <x v="3"/>
    <m/>
    <m/>
    <x v="1"/>
  </r>
  <r>
    <x v="180"/>
    <s v="hors-planning"/>
    <x v="4"/>
    <x v="0"/>
    <x v="10"/>
    <s v="Informatique"/>
    <s v="non"/>
    <s v="non"/>
    <m/>
    <m/>
    <m/>
    <m/>
    <s v="individuel"/>
    <x v="3"/>
    <m/>
    <m/>
    <x v="1"/>
  </r>
  <r>
    <x v="181"/>
    <s v="hors-planning"/>
    <x v="4"/>
    <x v="0"/>
    <x v="10"/>
    <s v="Informatique"/>
    <s v="non"/>
    <s v="non"/>
    <m/>
    <m/>
    <m/>
    <m/>
    <s v="individuel"/>
    <x v="3"/>
    <m/>
    <m/>
    <x v="1"/>
  </r>
  <r>
    <x v="182"/>
    <s v="hors-planning"/>
    <x v="4"/>
    <x v="0"/>
    <x v="10"/>
    <s v="Informatique"/>
    <s v="non"/>
    <s v="non"/>
    <m/>
    <m/>
    <m/>
    <m/>
    <s v="individuel"/>
    <x v="3"/>
    <m/>
    <m/>
    <x v="1"/>
  </r>
  <r>
    <x v="183"/>
    <s v="hors-planning"/>
    <x v="4"/>
    <x v="0"/>
    <x v="10"/>
    <s v="Informatique"/>
    <s v="non"/>
    <s v="non"/>
    <m/>
    <m/>
    <m/>
    <m/>
    <s v="individuel"/>
    <x v="3"/>
    <m/>
    <m/>
    <x v="1"/>
  </r>
  <r>
    <x v="184"/>
    <s v="hors-planning"/>
    <x v="4"/>
    <x v="0"/>
    <x v="10"/>
    <s v="Informatique"/>
    <s v="non"/>
    <s v="non"/>
    <m/>
    <m/>
    <m/>
    <m/>
    <s v="individuel"/>
    <x v="3"/>
    <m/>
    <m/>
    <x v="1"/>
  </r>
  <r>
    <x v="185"/>
    <s v="hors-planning"/>
    <x v="4"/>
    <x v="0"/>
    <x v="10"/>
    <s v="Informatique"/>
    <s v="non"/>
    <s v="non"/>
    <m/>
    <m/>
    <m/>
    <m/>
    <s v="individuel"/>
    <x v="3"/>
    <m/>
    <m/>
    <x v="1"/>
  </r>
  <r>
    <x v="186"/>
    <s v="hors-planning"/>
    <x v="4"/>
    <x v="0"/>
    <x v="10"/>
    <s v="Informatique"/>
    <s v="non"/>
    <s v="non"/>
    <m/>
    <m/>
    <m/>
    <m/>
    <s v="individuel"/>
    <x v="3"/>
    <m/>
    <m/>
    <x v="1"/>
  </r>
  <r>
    <x v="187"/>
    <s v="hors-planning"/>
    <x v="4"/>
    <x v="0"/>
    <x v="10"/>
    <s v="Informatique"/>
    <s v="non"/>
    <s v="non"/>
    <m/>
    <m/>
    <m/>
    <m/>
    <s v="individuel"/>
    <x v="3"/>
    <m/>
    <m/>
    <x v="1"/>
  </r>
  <r>
    <x v="188"/>
    <s v="hors-planning"/>
    <x v="4"/>
    <x v="0"/>
    <x v="10"/>
    <s v="Informatique"/>
    <s v="non"/>
    <s v="non"/>
    <m/>
    <m/>
    <m/>
    <m/>
    <s v="individuel"/>
    <x v="3"/>
    <m/>
    <m/>
    <x v="1"/>
  </r>
  <r>
    <x v="189"/>
    <s v="hors-planning"/>
    <x v="4"/>
    <x v="0"/>
    <x v="10"/>
    <s v="Informatique"/>
    <s v="non"/>
    <s v="non"/>
    <m/>
    <m/>
    <m/>
    <m/>
    <s v="individuel"/>
    <x v="3"/>
    <m/>
    <m/>
    <x v="1"/>
  </r>
  <r>
    <x v="190"/>
    <s v="hors-planning"/>
    <x v="4"/>
    <x v="0"/>
    <x v="10"/>
    <s v="Informatique"/>
    <s v="non"/>
    <s v="non"/>
    <m/>
    <m/>
    <m/>
    <m/>
    <s v="individuel"/>
    <x v="3"/>
    <m/>
    <m/>
    <x v="1"/>
  </r>
  <r>
    <x v="191"/>
    <s v="hors-planning"/>
    <x v="4"/>
    <x v="0"/>
    <x v="10"/>
    <s v="Informatique"/>
    <s v="non"/>
    <s v="non"/>
    <m/>
    <m/>
    <m/>
    <m/>
    <s v="individuel"/>
    <x v="3"/>
    <m/>
    <m/>
    <x v="1"/>
  </r>
  <r>
    <x v="192"/>
    <s v="hors-planning"/>
    <x v="4"/>
    <x v="0"/>
    <x v="10"/>
    <s v="Informatique"/>
    <s v="non"/>
    <s v="non"/>
    <m/>
    <m/>
    <m/>
    <m/>
    <s v="individuel"/>
    <x v="3"/>
    <m/>
    <m/>
    <x v="1"/>
  </r>
  <r>
    <x v="193"/>
    <s v="hors-planning"/>
    <x v="4"/>
    <x v="0"/>
    <x v="10"/>
    <s v="Informatique"/>
    <s v="non"/>
    <s v="non"/>
    <m/>
    <m/>
    <m/>
    <m/>
    <s v="individuel"/>
    <x v="3"/>
    <m/>
    <m/>
    <x v="1"/>
  </r>
  <r>
    <x v="194"/>
    <s v="hors-planning"/>
    <x v="4"/>
    <x v="0"/>
    <x v="10"/>
    <s v="Informatique"/>
    <s v="non"/>
    <s v="non"/>
    <m/>
    <m/>
    <m/>
    <m/>
    <s v="individuel"/>
    <x v="3"/>
    <m/>
    <m/>
    <x v="1"/>
  </r>
  <r>
    <x v="195"/>
    <s v="hors-planning"/>
    <x v="4"/>
    <x v="0"/>
    <x v="10"/>
    <s v="Informatique"/>
    <s v="non"/>
    <s v="non"/>
    <m/>
    <m/>
    <m/>
    <m/>
    <s v="individuel"/>
    <x v="3"/>
    <m/>
    <m/>
    <x v="1"/>
  </r>
  <r>
    <x v="196"/>
    <s v="hors-planning"/>
    <x v="4"/>
    <x v="0"/>
    <x v="10"/>
    <s v="Informatique"/>
    <s v="non"/>
    <s v="non"/>
    <m/>
    <m/>
    <m/>
    <m/>
    <s v="individuel"/>
    <x v="3"/>
    <m/>
    <m/>
    <x v="1"/>
  </r>
  <r>
    <x v="197"/>
    <s v="hors-planning"/>
    <x v="4"/>
    <x v="0"/>
    <x v="10"/>
    <s v="Informatique"/>
    <s v="non"/>
    <s v="non"/>
    <m/>
    <m/>
    <m/>
    <m/>
    <s v="individuel"/>
    <x v="3"/>
    <m/>
    <m/>
    <x v="1"/>
  </r>
  <r>
    <x v="198"/>
    <s v="hors-planning"/>
    <x v="4"/>
    <x v="0"/>
    <x v="10"/>
    <s v="Informatique"/>
    <s v="non"/>
    <s v="non"/>
    <m/>
    <m/>
    <m/>
    <m/>
    <s v="individuel"/>
    <x v="3"/>
    <m/>
    <m/>
    <x v="1"/>
  </r>
  <r>
    <x v="199"/>
    <s v="planning"/>
    <x v="4"/>
    <x v="0"/>
    <x v="10"/>
    <s v="Informatique"/>
    <s v="non"/>
    <s v="non"/>
    <m/>
    <m/>
    <m/>
    <m/>
    <s v="individuel"/>
    <x v="3"/>
    <m/>
    <m/>
    <x v="1"/>
  </r>
  <r>
    <x v="200"/>
    <s v="hors-planning"/>
    <x v="4"/>
    <x v="0"/>
    <x v="10"/>
    <s v="Informatique"/>
    <s v="non"/>
    <s v="non"/>
    <m/>
    <m/>
    <m/>
    <m/>
    <s v="individuel"/>
    <x v="3"/>
    <m/>
    <m/>
    <x v="1"/>
  </r>
  <r>
    <x v="201"/>
    <s v="planning"/>
    <x v="4"/>
    <x v="0"/>
    <x v="10"/>
    <s v="Informatique"/>
    <s v="non"/>
    <s v="non"/>
    <m/>
    <m/>
    <m/>
    <m/>
    <s v="individuel"/>
    <x v="3"/>
    <m/>
    <m/>
    <x v="1"/>
  </r>
  <r>
    <x v="202"/>
    <s v="planning"/>
    <x v="6"/>
    <x v="1"/>
    <x v="19"/>
    <m/>
    <s v="oui"/>
    <s v="non"/>
    <m/>
    <m/>
    <m/>
    <m/>
    <s v="individuel"/>
    <x v="3"/>
    <m/>
    <m/>
    <x v="1"/>
  </r>
  <r>
    <x v="203"/>
    <s v="hors-planning"/>
    <x v="4"/>
    <x v="0"/>
    <x v="10"/>
    <s v="Math"/>
    <s v="non"/>
    <s v="non"/>
    <m/>
    <m/>
    <m/>
    <m/>
    <s v="individuel"/>
    <x v="3"/>
    <m/>
    <m/>
    <x v="1"/>
  </r>
  <r>
    <x v="204"/>
    <s v="hors-planning"/>
    <x v="4"/>
    <x v="0"/>
    <x v="10"/>
    <s v="Math"/>
    <s v="non"/>
    <s v="non"/>
    <m/>
    <m/>
    <m/>
    <m/>
    <s v="individuel"/>
    <x v="3"/>
    <m/>
    <m/>
    <x v="1"/>
  </r>
  <r>
    <x v="205"/>
    <s v="hors-planning"/>
    <x v="4"/>
    <x v="0"/>
    <x v="10"/>
    <s v="Math"/>
    <s v="non"/>
    <s v="non"/>
    <m/>
    <m/>
    <m/>
    <m/>
    <s v="individuel"/>
    <x v="3"/>
    <m/>
    <m/>
    <x v="1"/>
  </r>
  <r>
    <x v="206"/>
    <s v="hors-planning"/>
    <x v="4"/>
    <x v="0"/>
    <x v="10"/>
    <s v="Math"/>
    <s v="non"/>
    <s v="non"/>
    <m/>
    <m/>
    <m/>
    <m/>
    <s v="individuel"/>
    <x v="3"/>
    <m/>
    <m/>
    <x v="1"/>
  </r>
  <r>
    <x v="207"/>
    <s v="hors-planning"/>
    <x v="4"/>
    <x v="0"/>
    <x v="10"/>
    <s v="Math"/>
    <s v="non"/>
    <s v="non"/>
    <m/>
    <m/>
    <m/>
    <m/>
    <s v="individuel"/>
    <x v="3"/>
    <m/>
    <m/>
    <x v="1"/>
  </r>
  <r>
    <x v="208"/>
    <s v="hors-planning"/>
    <x v="4"/>
    <x v="0"/>
    <x v="10"/>
    <s v="Math"/>
    <s v="non"/>
    <s v="non"/>
    <m/>
    <m/>
    <m/>
    <m/>
    <s v="individuel"/>
    <x v="3"/>
    <m/>
    <m/>
    <x v="1"/>
  </r>
  <r>
    <x v="209"/>
    <s v="hors-planning"/>
    <x v="4"/>
    <x v="0"/>
    <x v="10"/>
    <s v="Math"/>
    <s v="non"/>
    <s v="non"/>
    <m/>
    <m/>
    <m/>
    <m/>
    <s v="individuel"/>
    <x v="3"/>
    <m/>
    <m/>
    <x v="1"/>
  </r>
  <r>
    <x v="210"/>
    <s v="hors-planning"/>
    <x v="4"/>
    <x v="0"/>
    <x v="10"/>
    <s v="Math"/>
    <s v="non"/>
    <s v="non"/>
    <m/>
    <m/>
    <m/>
    <m/>
    <s v="individuel"/>
    <x v="3"/>
    <m/>
    <m/>
    <x v="1"/>
  </r>
  <r>
    <x v="211"/>
    <s v="hors-planning"/>
    <x v="4"/>
    <x v="0"/>
    <x v="10"/>
    <s v="Math"/>
    <s v="non"/>
    <s v="non"/>
    <m/>
    <m/>
    <m/>
    <m/>
    <s v="individuel"/>
    <x v="3"/>
    <m/>
    <m/>
    <x v="1"/>
  </r>
  <r>
    <x v="212"/>
    <s v="hors-planning"/>
    <x v="4"/>
    <x v="0"/>
    <x v="10"/>
    <s v="Math"/>
    <s v="non"/>
    <s v="non"/>
    <m/>
    <m/>
    <m/>
    <m/>
    <s v="individuel"/>
    <x v="3"/>
    <m/>
    <m/>
    <x v="1"/>
  </r>
  <r>
    <x v="213"/>
    <s v="hors-planning"/>
    <x v="4"/>
    <x v="0"/>
    <x v="10"/>
    <s v="Math"/>
    <s v="non"/>
    <s v="non"/>
    <m/>
    <m/>
    <m/>
    <m/>
    <s v="individuel"/>
    <x v="3"/>
    <m/>
    <m/>
    <x v="1"/>
  </r>
  <r>
    <x v="214"/>
    <s v="hors-planning"/>
    <x v="4"/>
    <x v="0"/>
    <x v="10"/>
    <s v="Math"/>
    <s v="non"/>
    <s v="non"/>
    <m/>
    <m/>
    <m/>
    <m/>
    <s v="individuel"/>
    <x v="3"/>
    <m/>
    <m/>
    <x v="1"/>
  </r>
  <r>
    <x v="215"/>
    <s v="hors-planning"/>
    <x v="4"/>
    <x v="0"/>
    <x v="10"/>
    <s v="Math"/>
    <s v="non"/>
    <s v="non"/>
    <m/>
    <m/>
    <m/>
    <m/>
    <s v="individuel"/>
    <x v="3"/>
    <m/>
    <m/>
    <x v="1"/>
  </r>
  <r>
    <x v="216"/>
    <s v="hors-planning"/>
    <x v="4"/>
    <x v="0"/>
    <x v="10"/>
    <s v="Math"/>
    <s v="non"/>
    <s v="non"/>
    <m/>
    <m/>
    <m/>
    <m/>
    <s v="individuel"/>
    <x v="3"/>
    <m/>
    <m/>
    <x v="1"/>
  </r>
  <r>
    <x v="217"/>
    <s v="hors-planning"/>
    <x v="4"/>
    <x v="0"/>
    <x v="10"/>
    <s v="Math"/>
    <s v="non"/>
    <s v="non"/>
    <m/>
    <m/>
    <m/>
    <m/>
    <s v="individuel"/>
    <x v="3"/>
    <m/>
    <m/>
    <x v="1"/>
  </r>
  <r>
    <x v="218"/>
    <s v="hors-planning"/>
    <x v="4"/>
    <x v="0"/>
    <x v="10"/>
    <s v="Math"/>
    <s v="non"/>
    <s v="non"/>
    <m/>
    <m/>
    <m/>
    <m/>
    <s v="individuel"/>
    <x v="3"/>
    <m/>
    <m/>
    <x v="1"/>
  </r>
  <r>
    <x v="219"/>
    <s v="hors-planning"/>
    <x v="4"/>
    <x v="0"/>
    <x v="10"/>
    <s v="Math"/>
    <s v="non"/>
    <s v="non"/>
    <m/>
    <m/>
    <m/>
    <m/>
    <s v="individuel"/>
    <x v="3"/>
    <m/>
    <m/>
    <x v="1"/>
  </r>
  <r>
    <x v="220"/>
    <s v="hors-planning"/>
    <x v="4"/>
    <x v="0"/>
    <x v="10"/>
    <s v="Math"/>
    <s v="non"/>
    <s v="non"/>
    <m/>
    <m/>
    <m/>
    <m/>
    <s v="individuel"/>
    <x v="3"/>
    <m/>
    <m/>
    <x v="1"/>
  </r>
  <r>
    <x v="221"/>
    <s v="hors-planning"/>
    <x v="4"/>
    <x v="0"/>
    <x v="10"/>
    <s v="Math"/>
    <s v="non"/>
    <s v="non"/>
    <m/>
    <m/>
    <m/>
    <m/>
    <s v="individuel"/>
    <x v="3"/>
    <m/>
    <m/>
    <x v="1"/>
  </r>
  <r>
    <x v="222"/>
    <s v="hors-planning"/>
    <x v="4"/>
    <x v="0"/>
    <x v="10"/>
    <s v="Math"/>
    <s v="non"/>
    <s v="non"/>
    <m/>
    <m/>
    <m/>
    <m/>
    <s v="individuel"/>
    <x v="3"/>
    <m/>
    <m/>
    <x v="1"/>
  </r>
  <r>
    <x v="223"/>
    <s v="hors-planning"/>
    <x v="4"/>
    <x v="0"/>
    <x v="10"/>
    <s v="Math"/>
    <s v="non"/>
    <s v="non"/>
    <m/>
    <m/>
    <m/>
    <m/>
    <s v="individuel"/>
    <x v="3"/>
    <m/>
    <m/>
    <x v="1"/>
  </r>
  <r>
    <x v="224"/>
    <s v="hors-planning"/>
    <x v="4"/>
    <x v="0"/>
    <x v="10"/>
    <s v="Math"/>
    <s v="non"/>
    <s v="non"/>
    <m/>
    <m/>
    <m/>
    <m/>
    <s v="individuel"/>
    <x v="3"/>
    <m/>
    <m/>
    <x v="1"/>
  </r>
  <r>
    <x v="225"/>
    <s v="hors-planning"/>
    <x v="4"/>
    <x v="0"/>
    <x v="10"/>
    <s v="Math"/>
    <s v="non"/>
    <s v="non"/>
    <m/>
    <m/>
    <m/>
    <m/>
    <s v="individuel"/>
    <x v="3"/>
    <m/>
    <m/>
    <x v="1"/>
  </r>
  <r>
    <x v="226"/>
    <s v="hors-planning"/>
    <x v="4"/>
    <x v="0"/>
    <x v="10"/>
    <s v="Math"/>
    <s v="non"/>
    <s v="non"/>
    <m/>
    <m/>
    <m/>
    <m/>
    <s v="individuel"/>
    <x v="3"/>
    <m/>
    <m/>
    <x v="1"/>
  </r>
  <r>
    <x v="227"/>
    <s v="hors-planning"/>
    <x v="4"/>
    <x v="0"/>
    <x v="10"/>
    <s v="Math"/>
    <s v="non"/>
    <s v="non"/>
    <m/>
    <m/>
    <m/>
    <m/>
    <s v="individuel"/>
    <x v="3"/>
    <m/>
    <m/>
    <x v="1"/>
  </r>
  <r>
    <x v="228"/>
    <s v="hors-planning"/>
    <x v="4"/>
    <x v="0"/>
    <x v="10"/>
    <s v="Math"/>
    <s v="non"/>
    <s v="non"/>
    <m/>
    <m/>
    <m/>
    <m/>
    <s v="individuel"/>
    <x v="3"/>
    <m/>
    <m/>
    <x v="1"/>
  </r>
  <r>
    <x v="229"/>
    <s v="hors-planning"/>
    <x v="4"/>
    <x v="0"/>
    <x v="10"/>
    <s v="Math"/>
    <s v="non"/>
    <s v="non"/>
    <m/>
    <m/>
    <m/>
    <m/>
    <s v="individuel"/>
    <x v="3"/>
    <m/>
    <m/>
    <x v="1"/>
  </r>
  <r>
    <x v="230"/>
    <s v="hors-planning"/>
    <x v="4"/>
    <x v="0"/>
    <x v="10"/>
    <s v="Math"/>
    <s v="non"/>
    <s v="non"/>
    <m/>
    <m/>
    <m/>
    <m/>
    <s v="individuel"/>
    <x v="3"/>
    <m/>
    <m/>
    <x v="1"/>
  </r>
  <r>
    <x v="231"/>
    <s v="hors-planning"/>
    <x v="4"/>
    <x v="0"/>
    <x v="10"/>
    <s v="Math"/>
    <s v="non"/>
    <s v="non"/>
    <m/>
    <m/>
    <m/>
    <m/>
    <s v="individuel"/>
    <x v="3"/>
    <m/>
    <m/>
    <x v="1"/>
  </r>
  <r>
    <x v="232"/>
    <s v="hors-planning"/>
    <x v="4"/>
    <x v="0"/>
    <x v="10"/>
    <s v="Math"/>
    <s v="non"/>
    <s v="non"/>
    <m/>
    <m/>
    <m/>
    <m/>
    <s v="individuel"/>
    <x v="3"/>
    <m/>
    <m/>
    <x v="1"/>
  </r>
  <r>
    <x v="233"/>
    <s v="hors-planning"/>
    <x v="4"/>
    <x v="0"/>
    <x v="10"/>
    <s v="Math"/>
    <s v="non"/>
    <s v="non"/>
    <m/>
    <m/>
    <m/>
    <m/>
    <s v="individuel"/>
    <x v="3"/>
    <m/>
    <m/>
    <x v="1"/>
  </r>
  <r>
    <x v="234"/>
    <s v="hors-planning"/>
    <x v="4"/>
    <x v="0"/>
    <x v="10"/>
    <s v="Math"/>
    <s v="non"/>
    <s v="non"/>
    <m/>
    <m/>
    <m/>
    <m/>
    <s v="individuel"/>
    <x v="3"/>
    <m/>
    <m/>
    <x v="1"/>
  </r>
  <r>
    <x v="235"/>
    <s v="hors-planning"/>
    <x v="4"/>
    <x v="0"/>
    <x v="10"/>
    <s v="Math"/>
    <s v="non"/>
    <s v="non"/>
    <m/>
    <m/>
    <m/>
    <m/>
    <s v="individuel"/>
    <x v="3"/>
    <m/>
    <m/>
    <x v="1"/>
  </r>
  <r>
    <x v="236"/>
    <s v="hors-planning"/>
    <x v="4"/>
    <x v="0"/>
    <x v="10"/>
    <s v="Math"/>
    <s v="non"/>
    <s v="non"/>
    <m/>
    <m/>
    <m/>
    <m/>
    <s v="individuel"/>
    <x v="3"/>
    <m/>
    <m/>
    <x v="1"/>
  </r>
  <r>
    <x v="237"/>
    <s v="hors-planning"/>
    <x v="4"/>
    <x v="0"/>
    <x v="10"/>
    <s v="Math"/>
    <s v="non"/>
    <s v="non"/>
    <m/>
    <m/>
    <m/>
    <m/>
    <s v="individuel"/>
    <x v="3"/>
    <m/>
    <m/>
    <x v="1"/>
  </r>
  <r>
    <x v="238"/>
    <s v="hors-planning"/>
    <x v="4"/>
    <x v="0"/>
    <x v="10"/>
    <s v="Math"/>
    <s v="non"/>
    <s v="non"/>
    <m/>
    <m/>
    <m/>
    <m/>
    <s v="individuel"/>
    <x v="3"/>
    <m/>
    <m/>
    <x v="1"/>
  </r>
  <r>
    <x v="239"/>
    <s v="planning"/>
    <x v="4"/>
    <x v="2"/>
    <x v="10"/>
    <s v="Math"/>
    <s v="non"/>
    <s v="non"/>
    <m/>
    <m/>
    <m/>
    <m/>
    <s v="individuel"/>
    <x v="3"/>
    <m/>
    <m/>
    <x v="1"/>
  </r>
  <r>
    <x v="240"/>
    <s v="hors-planning"/>
    <x v="4"/>
    <x v="0"/>
    <x v="10"/>
    <s v="Math"/>
    <s v="non"/>
    <s v="non"/>
    <m/>
    <m/>
    <m/>
    <m/>
    <s v="individuel"/>
    <x v="3"/>
    <m/>
    <m/>
    <x v="1"/>
  </r>
  <r>
    <x v="241"/>
    <s v="hors-planning"/>
    <x v="4"/>
    <x v="0"/>
    <x v="10"/>
    <s v="Math"/>
    <s v="non"/>
    <s v="non"/>
    <m/>
    <m/>
    <m/>
    <m/>
    <s v="individuel"/>
    <x v="3"/>
    <m/>
    <m/>
    <x v="1"/>
  </r>
  <r>
    <x v="242"/>
    <s v="hors-planning"/>
    <x v="4"/>
    <x v="0"/>
    <x v="10"/>
    <s v="Math"/>
    <s v="non"/>
    <s v="non"/>
    <m/>
    <m/>
    <m/>
    <m/>
    <s v="individuel"/>
    <x v="3"/>
    <m/>
    <m/>
    <x v="1"/>
  </r>
  <r>
    <x v="243"/>
    <s v="hors-planning"/>
    <x v="4"/>
    <x v="0"/>
    <x v="10"/>
    <s v="Math"/>
    <s v="non"/>
    <s v="non"/>
    <m/>
    <m/>
    <m/>
    <m/>
    <s v="individuel"/>
    <x v="3"/>
    <m/>
    <m/>
    <x v="1"/>
  </r>
  <r>
    <x v="244"/>
    <s v="hors-planning"/>
    <x v="4"/>
    <x v="0"/>
    <x v="10"/>
    <s v="Math"/>
    <s v="non"/>
    <s v="non"/>
    <m/>
    <m/>
    <m/>
    <m/>
    <s v="individuel"/>
    <x v="3"/>
    <m/>
    <m/>
    <x v="1"/>
  </r>
  <r>
    <x v="245"/>
    <s v="hors-planning"/>
    <x v="4"/>
    <x v="0"/>
    <x v="10"/>
    <s v="Math"/>
    <s v="non"/>
    <s v="non"/>
    <m/>
    <m/>
    <m/>
    <m/>
    <s v="individuel"/>
    <x v="3"/>
    <m/>
    <m/>
    <x v="1"/>
  </r>
  <r>
    <x v="246"/>
    <s v="hors-planning"/>
    <x v="4"/>
    <x v="0"/>
    <x v="10"/>
    <s v="Math"/>
    <s v="non"/>
    <s v="non"/>
    <m/>
    <m/>
    <m/>
    <m/>
    <s v="individuel"/>
    <x v="3"/>
    <m/>
    <m/>
    <x v="1"/>
  </r>
  <r>
    <x v="247"/>
    <s v="hors-planning"/>
    <x v="4"/>
    <x v="0"/>
    <x v="10"/>
    <s v="Math"/>
    <s v="non"/>
    <s v="non"/>
    <m/>
    <m/>
    <m/>
    <m/>
    <s v="individuel"/>
    <x v="3"/>
    <m/>
    <m/>
    <x v="1"/>
  </r>
  <r>
    <x v="248"/>
    <s v="hors-planning"/>
    <x v="4"/>
    <x v="0"/>
    <x v="10"/>
    <s v="Math"/>
    <s v="non"/>
    <s v="non"/>
    <m/>
    <m/>
    <m/>
    <m/>
    <s v="individuel"/>
    <x v="3"/>
    <m/>
    <m/>
    <x v="1"/>
  </r>
  <r>
    <x v="249"/>
    <s v="hors-planning"/>
    <x v="4"/>
    <x v="0"/>
    <x v="10"/>
    <s v="Math"/>
    <s v="non"/>
    <s v="non"/>
    <m/>
    <m/>
    <m/>
    <m/>
    <s v="individuel"/>
    <x v="3"/>
    <m/>
    <m/>
    <x v="1"/>
  </r>
  <r>
    <x v="250"/>
    <s v="hors-planning"/>
    <x v="4"/>
    <x v="0"/>
    <x v="10"/>
    <s v="Math"/>
    <s v="non"/>
    <s v="non"/>
    <m/>
    <m/>
    <m/>
    <m/>
    <s v="individuel"/>
    <x v="3"/>
    <m/>
    <m/>
    <x v="1"/>
  </r>
  <r>
    <x v="251"/>
    <s v="hors-planning"/>
    <x v="4"/>
    <x v="0"/>
    <x v="10"/>
    <s v="Math"/>
    <s v="non"/>
    <s v="non"/>
    <m/>
    <m/>
    <m/>
    <m/>
    <s v="individuel"/>
    <x v="3"/>
    <m/>
    <m/>
    <x v="1"/>
  </r>
  <r>
    <x v="252"/>
    <s v="hors-planning"/>
    <x v="4"/>
    <x v="0"/>
    <x v="10"/>
    <s v="Math"/>
    <s v="non"/>
    <s v="non"/>
    <m/>
    <m/>
    <m/>
    <m/>
    <s v="individuel"/>
    <x v="3"/>
    <m/>
    <m/>
    <x v="1"/>
  </r>
  <r>
    <x v="253"/>
    <s v="hors-planning"/>
    <x v="4"/>
    <x v="0"/>
    <x v="10"/>
    <s v="Math"/>
    <s v="non"/>
    <s v="non"/>
    <m/>
    <m/>
    <m/>
    <m/>
    <s v="individuel"/>
    <x v="3"/>
    <m/>
    <m/>
    <x v="1"/>
  </r>
  <r>
    <x v="254"/>
    <s v="hors-planning"/>
    <x v="4"/>
    <x v="0"/>
    <x v="10"/>
    <s v="Math"/>
    <s v="non"/>
    <s v="non"/>
    <m/>
    <m/>
    <m/>
    <m/>
    <s v="individuel"/>
    <x v="3"/>
    <m/>
    <m/>
    <x v="1"/>
  </r>
  <r>
    <x v="255"/>
    <s v="hors-planning"/>
    <x v="4"/>
    <x v="0"/>
    <x v="10"/>
    <s v="Math"/>
    <s v="non"/>
    <s v="non"/>
    <m/>
    <m/>
    <m/>
    <m/>
    <s v="individuel"/>
    <x v="3"/>
    <m/>
    <m/>
    <x v="1"/>
  </r>
  <r>
    <x v="256"/>
    <s v="hors-planning"/>
    <x v="4"/>
    <x v="0"/>
    <x v="10"/>
    <s v="Math"/>
    <s v="non"/>
    <s v="non"/>
    <m/>
    <m/>
    <m/>
    <m/>
    <s v="individuel"/>
    <x v="3"/>
    <m/>
    <m/>
    <x v="1"/>
  </r>
  <r>
    <x v="257"/>
    <s v="hors-planning"/>
    <x v="4"/>
    <x v="0"/>
    <x v="10"/>
    <s v="Math"/>
    <s v="non"/>
    <s v="non"/>
    <m/>
    <m/>
    <m/>
    <m/>
    <s v="individuel"/>
    <x v="3"/>
    <m/>
    <m/>
    <x v="1"/>
  </r>
  <r>
    <x v="258"/>
    <s v="hors-planning"/>
    <x v="4"/>
    <x v="0"/>
    <x v="10"/>
    <s v="Math"/>
    <s v="non"/>
    <s v="non"/>
    <m/>
    <m/>
    <m/>
    <m/>
    <s v="individuel"/>
    <x v="3"/>
    <m/>
    <m/>
    <x v="1"/>
  </r>
  <r>
    <x v="259"/>
    <s v="hors-planning"/>
    <x v="4"/>
    <x v="0"/>
    <x v="10"/>
    <s v="Math"/>
    <s v="non"/>
    <s v="non"/>
    <m/>
    <m/>
    <m/>
    <m/>
    <s v="individuel"/>
    <x v="3"/>
    <m/>
    <m/>
    <x v="1"/>
  </r>
  <r>
    <x v="260"/>
    <s v="hors-planning"/>
    <x v="4"/>
    <x v="0"/>
    <x v="10"/>
    <s v="Math"/>
    <s v="non"/>
    <s v="non"/>
    <m/>
    <m/>
    <m/>
    <m/>
    <s v="individuel"/>
    <x v="3"/>
    <m/>
    <m/>
    <x v="1"/>
  </r>
  <r>
    <x v="261"/>
    <s v="hors-planning"/>
    <x v="4"/>
    <x v="0"/>
    <x v="10"/>
    <s v="Math"/>
    <s v="non"/>
    <s v="non"/>
    <m/>
    <m/>
    <m/>
    <m/>
    <s v="individuel"/>
    <x v="3"/>
    <m/>
    <m/>
    <x v="1"/>
  </r>
  <r>
    <x v="262"/>
    <s v="hors-planning"/>
    <x v="4"/>
    <x v="0"/>
    <x v="10"/>
    <s v="Math"/>
    <s v="non"/>
    <s v="non"/>
    <m/>
    <m/>
    <m/>
    <m/>
    <s v="individuel"/>
    <x v="3"/>
    <m/>
    <m/>
    <x v="1"/>
  </r>
  <r>
    <x v="263"/>
    <s v="hors-planning"/>
    <x v="4"/>
    <x v="0"/>
    <x v="10"/>
    <s v="Math"/>
    <s v="non"/>
    <s v="non"/>
    <m/>
    <m/>
    <m/>
    <m/>
    <s v="individuel"/>
    <x v="3"/>
    <m/>
    <m/>
    <x v="1"/>
  </r>
  <r>
    <x v="264"/>
    <s v="hors-planning"/>
    <x v="4"/>
    <x v="0"/>
    <x v="10"/>
    <s v="Math"/>
    <s v="non"/>
    <s v="non"/>
    <m/>
    <m/>
    <m/>
    <m/>
    <s v="individuel"/>
    <x v="3"/>
    <m/>
    <m/>
    <x v="1"/>
  </r>
  <r>
    <x v="265"/>
    <s v="hors-planning"/>
    <x v="4"/>
    <x v="0"/>
    <x v="10"/>
    <s v="Math"/>
    <s v="non"/>
    <s v="non"/>
    <m/>
    <m/>
    <m/>
    <m/>
    <s v="individuel"/>
    <x v="3"/>
    <m/>
    <m/>
    <x v="1"/>
  </r>
  <r>
    <x v="266"/>
    <s v="hors-planning"/>
    <x v="4"/>
    <x v="0"/>
    <x v="10"/>
    <s v="Math"/>
    <s v="non"/>
    <s v="non"/>
    <m/>
    <m/>
    <m/>
    <m/>
    <s v="individuel"/>
    <x v="3"/>
    <m/>
    <m/>
    <x v="1"/>
  </r>
  <r>
    <x v="267"/>
    <s v="hors-planning"/>
    <x v="4"/>
    <x v="0"/>
    <x v="10"/>
    <s v="Math"/>
    <s v="non"/>
    <s v="non"/>
    <m/>
    <m/>
    <m/>
    <m/>
    <s v="individuel"/>
    <x v="3"/>
    <m/>
    <m/>
    <x v="1"/>
  </r>
  <r>
    <x v="268"/>
    <s v="hors-planning"/>
    <x v="4"/>
    <x v="0"/>
    <x v="10"/>
    <s v="Math"/>
    <s v="non"/>
    <s v="non"/>
    <m/>
    <m/>
    <m/>
    <m/>
    <s v="collectif"/>
    <x v="5"/>
    <m/>
    <m/>
    <x v="1"/>
  </r>
  <r>
    <x v="269"/>
    <s v="hors-planning"/>
    <x v="6"/>
    <x v="1"/>
    <x v="19"/>
    <m/>
    <s v="non"/>
    <s v="non"/>
    <m/>
    <m/>
    <m/>
    <m/>
    <s v="mixte"/>
    <x v="2"/>
    <m/>
    <m/>
    <x v="1"/>
  </r>
  <r>
    <x v="270"/>
    <s v="planning"/>
    <x v="6"/>
    <x v="0"/>
    <x v="19"/>
    <m/>
    <s v="oui"/>
    <s v="non"/>
    <m/>
    <m/>
    <m/>
    <m/>
    <s v="mixte"/>
    <x v="0"/>
    <m/>
    <m/>
    <x v="1"/>
  </r>
  <r>
    <x v="271"/>
    <s v="planning"/>
    <x v="6"/>
    <x v="0"/>
    <x v="19"/>
    <m/>
    <s v="oui"/>
    <s v="non"/>
    <m/>
    <m/>
    <m/>
    <m/>
    <s v="mixte"/>
    <x v="3"/>
    <m/>
    <m/>
    <x v="1"/>
  </r>
  <r>
    <x v="272"/>
    <s v="planning"/>
    <x v="6"/>
    <x v="0"/>
    <x v="19"/>
    <m/>
    <s v="oui"/>
    <s v="non"/>
    <m/>
    <m/>
    <m/>
    <m/>
    <s v="mixte"/>
    <x v="0"/>
    <m/>
    <m/>
    <x v="1"/>
  </r>
  <r>
    <x v="273"/>
    <s v="planning"/>
    <x v="6"/>
    <x v="0"/>
    <x v="19"/>
    <m/>
    <s v="oui"/>
    <s v="non"/>
    <m/>
    <m/>
    <m/>
    <m/>
    <s v="mixte"/>
    <x v="0"/>
    <m/>
    <m/>
    <x v="1"/>
  </r>
  <r>
    <x v="274"/>
    <s v="planning"/>
    <x v="6"/>
    <x v="0"/>
    <x v="19"/>
    <m/>
    <s v="oui"/>
    <s v="non"/>
    <m/>
    <m/>
    <m/>
    <m/>
    <s v="mixte"/>
    <x v="0"/>
    <m/>
    <m/>
    <x v="1"/>
  </r>
  <r>
    <x v="275"/>
    <s v="planning"/>
    <x v="6"/>
    <x v="0"/>
    <x v="19"/>
    <m/>
    <s v="oui"/>
    <s v="non"/>
    <m/>
    <m/>
    <m/>
    <m/>
    <s v="mixte"/>
    <x v="0"/>
    <m/>
    <m/>
    <x v="1"/>
  </r>
  <r>
    <x v="276"/>
    <s v="planning"/>
    <x v="6"/>
    <x v="0"/>
    <x v="19"/>
    <m/>
    <s v="oui"/>
    <s v="non"/>
    <m/>
    <m/>
    <m/>
    <m/>
    <s v="mixte"/>
    <x v="0"/>
    <m/>
    <m/>
    <x v="1"/>
  </r>
  <r>
    <x v="277"/>
    <s v="planning"/>
    <x v="6"/>
    <x v="0"/>
    <x v="19"/>
    <m/>
    <s v="oui"/>
    <s v="non"/>
    <m/>
    <m/>
    <m/>
    <m/>
    <s v="mixte"/>
    <x v="2"/>
    <m/>
    <m/>
    <x v="1"/>
  </r>
  <r>
    <x v="278"/>
    <s v="planning"/>
    <x v="6"/>
    <x v="0"/>
    <x v="19"/>
    <m/>
    <s v="oui"/>
    <s v="non"/>
    <m/>
    <m/>
    <m/>
    <m/>
    <s v="mixte"/>
    <x v="0"/>
    <m/>
    <m/>
    <x v="1"/>
  </r>
  <r>
    <x v="279"/>
    <s v="planning"/>
    <x v="6"/>
    <x v="0"/>
    <x v="19"/>
    <m/>
    <s v="oui"/>
    <s v="non"/>
    <m/>
    <m/>
    <m/>
    <m/>
    <s v="mixte"/>
    <x v="3"/>
    <m/>
    <m/>
    <x v="1"/>
  </r>
  <r>
    <x v="280"/>
    <s v="planning"/>
    <x v="6"/>
    <x v="0"/>
    <x v="19"/>
    <m/>
    <s v="oui"/>
    <s v="non"/>
    <m/>
    <m/>
    <m/>
    <m/>
    <s v="individuel"/>
    <x v="3"/>
    <m/>
    <m/>
    <x v="1"/>
  </r>
  <r>
    <x v="281"/>
    <s v="planning"/>
    <x v="6"/>
    <x v="0"/>
    <x v="19"/>
    <m/>
    <s v="oui"/>
    <s v="non"/>
    <m/>
    <m/>
    <m/>
    <m/>
    <s v="individuel"/>
    <x v="3"/>
    <m/>
    <m/>
    <x v="1"/>
  </r>
  <r>
    <x v="282"/>
    <s v="planning"/>
    <x v="6"/>
    <x v="0"/>
    <x v="19"/>
    <m/>
    <s v="oui"/>
    <s v="non"/>
    <m/>
    <m/>
    <m/>
    <m/>
    <s v="individuel"/>
    <x v="3"/>
    <m/>
    <m/>
    <x v="1"/>
  </r>
  <r>
    <x v="283"/>
    <s v="planning"/>
    <x v="6"/>
    <x v="0"/>
    <x v="19"/>
    <m/>
    <s v="oui"/>
    <s v="non"/>
    <m/>
    <m/>
    <m/>
    <m/>
    <s v="individuel"/>
    <x v="3"/>
    <m/>
    <m/>
    <x v="1"/>
  </r>
  <r>
    <x v="284"/>
    <s v="planning"/>
    <x v="6"/>
    <x v="0"/>
    <x v="19"/>
    <m/>
    <s v="oui"/>
    <s v="non"/>
    <m/>
    <m/>
    <m/>
    <m/>
    <s v="individuel"/>
    <x v="3"/>
    <m/>
    <m/>
    <x v="1"/>
  </r>
  <r>
    <x v="285"/>
    <s v="planning"/>
    <x v="6"/>
    <x v="0"/>
    <x v="19"/>
    <m/>
    <s v="oui"/>
    <s v="non"/>
    <m/>
    <m/>
    <m/>
    <m/>
    <s v="individuel"/>
    <x v="3"/>
    <m/>
    <m/>
    <x v="1"/>
  </r>
  <r>
    <x v="286"/>
    <s v="planning"/>
    <x v="6"/>
    <x v="0"/>
    <x v="19"/>
    <m/>
    <s v="oui"/>
    <s v="non"/>
    <m/>
    <m/>
    <m/>
    <m/>
    <s v="individuel"/>
    <x v="3"/>
    <m/>
    <m/>
    <x v="1"/>
  </r>
  <r>
    <x v="287"/>
    <s v="planning"/>
    <x v="6"/>
    <x v="0"/>
    <x v="19"/>
    <m/>
    <s v="oui"/>
    <s v="non"/>
    <m/>
    <m/>
    <m/>
    <m/>
    <s v="individuel"/>
    <x v="0"/>
    <m/>
    <m/>
    <x v="1"/>
  </r>
  <r>
    <x v="288"/>
    <s v="hors-planning"/>
    <x v="6"/>
    <x v="0"/>
    <x v="16"/>
    <m/>
    <s v="non"/>
    <s v="non"/>
    <m/>
    <m/>
    <m/>
    <m/>
    <s v="sous-groupe"/>
    <x v="3"/>
    <m/>
    <m/>
    <x v="1"/>
  </r>
  <r>
    <x v="289"/>
    <s v="planning"/>
    <x v="6"/>
    <x v="0"/>
    <x v="20"/>
    <s v="Dev Web"/>
    <s v="oui"/>
    <s v="non"/>
    <m/>
    <m/>
    <m/>
    <m/>
    <s v="mixte"/>
    <x v="3"/>
    <m/>
    <m/>
    <x v="1"/>
  </r>
  <r>
    <x v="290"/>
    <s v="planning"/>
    <x v="6"/>
    <x v="0"/>
    <x v="20"/>
    <s v="Dev Web"/>
    <s v="oui"/>
    <s v="non"/>
    <m/>
    <m/>
    <m/>
    <m/>
    <s v="mixte"/>
    <x v="3"/>
    <m/>
    <m/>
    <x v="1"/>
  </r>
  <r>
    <x v="291"/>
    <s v="planning"/>
    <x v="6"/>
    <x v="0"/>
    <x v="20"/>
    <s v="Dev Web"/>
    <s v="oui"/>
    <s v="non"/>
    <m/>
    <m/>
    <m/>
    <m/>
    <s v="mixte"/>
    <x v="3"/>
    <m/>
    <m/>
    <x v="1"/>
  </r>
  <r>
    <x v="292"/>
    <s v="planning"/>
    <x v="6"/>
    <x v="0"/>
    <x v="20"/>
    <s v="Dev Web"/>
    <s v="oui"/>
    <s v="non"/>
    <m/>
    <m/>
    <m/>
    <m/>
    <s v="mixte"/>
    <x v="3"/>
    <m/>
    <m/>
    <x v="1"/>
  </r>
  <r>
    <x v="293"/>
    <s v="planning"/>
    <x v="6"/>
    <x v="0"/>
    <x v="20"/>
    <s v="Dev Web"/>
    <s v="oui"/>
    <s v="non"/>
    <m/>
    <m/>
    <m/>
    <m/>
    <s v="mixte"/>
    <x v="3"/>
    <m/>
    <m/>
    <x v="1"/>
  </r>
  <r>
    <x v="294"/>
    <s v="planning"/>
    <x v="6"/>
    <x v="0"/>
    <x v="20"/>
    <s v="Média"/>
    <s v="non"/>
    <s v="non"/>
    <m/>
    <m/>
    <m/>
    <m/>
    <s v="mixte"/>
    <x v="3"/>
    <m/>
    <m/>
    <x v="1"/>
  </r>
  <r>
    <x v="295"/>
    <s v="planning"/>
    <x v="6"/>
    <x v="0"/>
    <x v="20"/>
    <s v="Média"/>
    <s v="non"/>
    <s v="non"/>
    <m/>
    <m/>
    <m/>
    <m/>
    <s v="mixte"/>
    <x v="3"/>
    <m/>
    <m/>
    <x v="1"/>
  </r>
  <r>
    <x v="296"/>
    <s v="planning"/>
    <x v="6"/>
    <x v="0"/>
    <x v="20"/>
    <s v="Réseau - Cyber"/>
    <s v="oui"/>
    <s v="non"/>
    <m/>
    <m/>
    <m/>
    <m/>
    <s v="mixte"/>
    <x v="3"/>
    <m/>
    <m/>
    <x v="1"/>
  </r>
  <r>
    <x v="297"/>
    <s v="planning"/>
    <x v="6"/>
    <x v="0"/>
    <x v="20"/>
    <s v="Réseau - Cyber"/>
    <s v="non"/>
    <s v="non"/>
    <m/>
    <m/>
    <m/>
    <m/>
    <s v="mixte"/>
    <x v="3"/>
    <m/>
    <m/>
    <x v="1"/>
  </r>
  <r>
    <x v="298"/>
    <s v="planning"/>
    <x v="6"/>
    <x v="0"/>
    <x v="20"/>
    <m/>
    <s v="non"/>
    <s v="non"/>
    <m/>
    <m/>
    <m/>
    <m/>
    <s v="mixte"/>
    <x v="3"/>
    <m/>
    <m/>
    <x v="1"/>
  </r>
  <r>
    <x v="299"/>
    <s v="planning"/>
    <x v="6"/>
    <x v="0"/>
    <x v="20"/>
    <m/>
    <s v="oui"/>
    <s v="non"/>
    <m/>
    <m/>
    <m/>
    <m/>
    <s v="mixte"/>
    <x v="3"/>
    <m/>
    <m/>
    <x v="1"/>
  </r>
  <r>
    <x v="300"/>
    <s v="planning"/>
    <x v="6"/>
    <x v="0"/>
    <x v="21"/>
    <m/>
    <s v="oui"/>
    <s v="non"/>
    <m/>
    <m/>
    <m/>
    <m/>
    <s v="collectif"/>
    <x v="3"/>
    <m/>
    <m/>
    <x v="1"/>
  </r>
  <r>
    <x v="301"/>
    <s v="hors-planning"/>
    <x v="6"/>
    <x v="1"/>
    <x v="22"/>
    <m/>
    <s v="oui"/>
    <s v="non"/>
    <m/>
    <m/>
    <m/>
    <m/>
    <s v="individuel"/>
    <x v="3"/>
    <m/>
    <m/>
    <x v="1"/>
  </r>
  <r>
    <x v="302"/>
    <s v="planning"/>
    <x v="6"/>
    <x v="1"/>
    <x v="22"/>
    <m/>
    <s v="oui"/>
    <s v="non"/>
    <m/>
    <m/>
    <m/>
    <m/>
    <s v="mixte"/>
    <x v="0"/>
    <m/>
    <m/>
    <x v="1"/>
  </r>
  <r>
    <x v="303"/>
    <s v="planning"/>
    <x v="6"/>
    <x v="1"/>
    <x v="22"/>
    <m/>
    <s v="oui"/>
    <s v="non"/>
    <m/>
    <m/>
    <m/>
    <m/>
    <s v="mixte"/>
    <x v="0"/>
    <m/>
    <m/>
    <x v="1"/>
  </r>
  <r>
    <x v="304"/>
    <s v="planning"/>
    <x v="6"/>
    <x v="1"/>
    <x v="22"/>
    <m/>
    <s v="oui"/>
    <s v="non"/>
    <m/>
    <m/>
    <m/>
    <m/>
    <s v="mixte"/>
    <x v="0"/>
    <m/>
    <m/>
    <x v="1"/>
  </r>
  <r>
    <x v="305"/>
    <s v="planning"/>
    <x v="6"/>
    <x v="1"/>
    <x v="22"/>
    <m/>
    <s v="oui"/>
    <s v="non"/>
    <m/>
    <m/>
    <m/>
    <m/>
    <s v="mixte"/>
    <x v="3"/>
    <m/>
    <m/>
    <x v="1"/>
  </r>
  <r>
    <x v="306"/>
    <s v="planning"/>
    <x v="6"/>
    <x v="1"/>
    <x v="22"/>
    <m/>
    <s v="oui"/>
    <s v="non"/>
    <m/>
    <m/>
    <m/>
    <m/>
    <s v="mixte"/>
    <x v="0"/>
    <m/>
    <m/>
    <x v="1"/>
  </r>
  <r>
    <x v="307"/>
    <s v="planning"/>
    <x v="6"/>
    <x v="1"/>
    <x v="22"/>
    <m/>
    <s v="oui"/>
    <s v="non"/>
    <m/>
    <m/>
    <m/>
    <m/>
    <s v="mixte"/>
    <x v="3"/>
    <m/>
    <m/>
    <x v="1"/>
  </r>
  <r>
    <x v="308"/>
    <s v="planning"/>
    <x v="6"/>
    <x v="1"/>
    <x v="22"/>
    <m/>
    <s v="oui"/>
    <s v="non"/>
    <m/>
    <m/>
    <m/>
    <m/>
    <s v="mixte"/>
    <x v="0"/>
    <m/>
    <m/>
    <x v="1"/>
  </r>
  <r>
    <x v="309"/>
    <s v="hors-planning"/>
    <x v="6"/>
    <x v="1"/>
    <x v="22"/>
    <m/>
    <s v="oui"/>
    <s v="non"/>
    <m/>
    <m/>
    <m/>
    <m/>
    <s v="individuel"/>
    <x v="2"/>
    <m/>
    <m/>
    <x v="1"/>
  </r>
  <r>
    <x v="310"/>
    <s v="planning"/>
    <x v="6"/>
    <x v="1"/>
    <x v="23"/>
    <m/>
    <s v="oui"/>
    <s v="non"/>
    <m/>
    <m/>
    <m/>
    <m/>
    <s v="mixte"/>
    <x v="0"/>
    <m/>
    <m/>
    <x v="1"/>
  </r>
  <r>
    <x v="311"/>
    <s v="planning"/>
    <x v="6"/>
    <x v="1"/>
    <x v="23"/>
    <m/>
    <s v="oui"/>
    <s v="non"/>
    <m/>
    <m/>
    <m/>
    <m/>
    <s v="mixte"/>
    <x v="0"/>
    <m/>
    <m/>
    <x v="1"/>
  </r>
  <r>
    <x v="312"/>
    <s v="planning"/>
    <x v="6"/>
    <x v="1"/>
    <x v="23"/>
    <m/>
    <s v="oui"/>
    <s v="non"/>
    <m/>
    <m/>
    <m/>
    <m/>
    <s v="mixte"/>
    <x v="0"/>
    <m/>
    <m/>
    <x v="1"/>
  </r>
  <r>
    <x v="313"/>
    <s v="planning"/>
    <x v="6"/>
    <x v="1"/>
    <x v="23"/>
    <m/>
    <s v="oui"/>
    <s v="non"/>
    <m/>
    <m/>
    <m/>
    <m/>
    <s v="mixte"/>
    <x v="3"/>
    <m/>
    <m/>
    <x v="1"/>
  </r>
  <r>
    <x v="300"/>
    <s v="planning"/>
    <x v="6"/>
    <x v="1"/>
    <x v="23"/>
    <m/>
    <s v="oui"/>
    <s v="non"/>
    <m/>
    <m/>
    <m/>
    <m/>
    <s v="mixte"/>
    <x v="3"/>
    <m/>
    <m/>
    <x v="1"/>
  </r>
  <r>
    <x v="314"/>
    <s v="planning"/>
    <x v="6"/>
    <x v="1"/>
    <x v="23"/>
    <m/>
    <s v="oui"/>
    <s v="non"/>
    <m/>
    <m/>
    <m/>
    <m/>
    <s v="mixte"/>
    <x v="3"/>
    <m/>
    <m/>
    <x v="1"/>
  </r>
  <r>
    <x v="315"/>
    <s v="planning"/>
    <x v="6"/>
    <x v="1"/>
    <x v="23"/>
    <m/>
    <s v="oui"/>
    <s v="non"/>
    <m/>
    <m/>
    <m/>
    <m/>
    <s v="mixte"/>
    <x v="3"/>
    <m/>
    <m/>
    <x v="1"/>
  </r>
  <r>
    <x v="316"/>
    <s v="planning"/>
    <x v="6"/>
    <x v="1"/>
    <x v="23"/>
    <m/>
    <s v="oui"/>
    <s v="non"/>
    <m/>
    <m/>
    <m/>
    <m/>
    <s v="mixte"/>
    <x v="3"/>
    <m/>
    <m/>
    <x v="1"/>
  </r>
  <r>
    <x v="317"/>
    <s v="planning"/>
    <x v="6"/>
    <x v="1"/>
    <x v="23"/>
    <m/>
    <s v="oui"/>
    <s v="non"/>
    <m/>
    <m/>
    <m/>
    <m/>
    <s v="mixte"/>
    <x v="3"/>
    <m/>
    <m/>
    <x v="1"/>
  </r>
  <r>
    <x v="318"/>
    <s v="planning"/>
    <x v="6"/>
    <x v="1"/>
    <x v="23"/>
    <m/>
    <s v="oui"/>
    <s v="non"/>
    <m/>
    <m/>
    <m/>
    <m/>
    <s v="mixte"/>
    <x v="3"/>
    <m/>
    <m/>
    <x v="1"/>
  </r>
  <r>
    <x v="319"/>
    <s v="planning"/>
    <x v="6"/>
    <x v="1"/>
    <x v="23"/>
    <m/>
    <s v="oui"/>
    <s v="non"/>
    <m/>
    <m/>
    <m/>
    <m/>
    <s v="mixte"/>
    <x v="3"/>
    <m/>
    <m/>
    <x v="1"/>
  </r>
  <r>
    <x v="320"/>
    <s v="planning"/>
    <x v="6"/>
    <x v="1"/>
    <x v="23"/>
    <m/>
    <s v="oui"/>
    <s v="non"/>
    <m/>
    <m/>
    <m/>
    <m/>
    <s v="mixte"/>
    <x v="3"/>
    <m/>
    <m/>
    <x v="1"/>
  </r>
  <r>
    <x v="321"/>
    <s v="planning"/>
    <x v="6"/>
    <x v="1"/>
    <x v="23"/>
    <m/>
    <s v="oui"/>
    <s v="non"/>
    <m/>
    <m/>
    <m/>
    <m/>
    <s v="mixte"/>
    <x v="3"/>
    <m/>
    <m/>
    <x v="1"/>
  </r>
  <r>
    <x v="322"/>
    <s v="planning"/>
    <x v="6"/>
    <x v="1"/>
    <x v="23"/>
    <m/>
    <s v="oui"/>
    <s v="non"/>
    <m/>
    <m/>
    <m/>
    <m/>
    <s v="mixte"/>
    <x v="3"/>
    <m/>
    <m/>
    <x v="1"/>
  </r>
  <r>
    <x v="323"/>
    <s v="planning"/>
    <x v="6"/>
    <x v="1"/>
    <x v="23"/>
    <m/>
    <s v="oui"/>
    <s v="non"/>
    <m/>
    <m/>
    <m/>
    <m/>
    <s v="mixte"/>
    <x v="5"/>
    <m/>
    <m/>
    <x v="1"/>
  </r>
  <r>
    <x v="324"/>
    <s v="planning"/>
    <x v="4"/>
    <x v="1"/>
    <x v="10"/>
    <m/>
    <s v="non"/>
    <s v="non"/>
    <m/>
    <m/>
    <m/>
    <m/>
    <s v="individuel"/>
    <x v="1"/>
    <m/>
    <m/>
    <x v="1"/>
  </r>
  <r>
    <x v="325"/>
    <s v="planning"/>
    <x v="4"/>
    <x v="1"/>
    <x v="10"/>
    <m/>
    <s v="non"/>
    <s v="non"/>
    <m/>
    <m/>
    <m/>
    <m/>
    <s v="individuel"/>
    <x v="1"/>
    <m/>
    <m/>
    <x v="1"/>
  </r>
  <r>
    <x v="326"/>
    <s v="planning"/>
    <x v="5"/>
    <x v="1"/>
    <x v="15"/>
    <m/>
    <s v="oui"/>
    <s v="non"/>
    <m/>
    <m/>
    <m/>
    <m/>
    <s v="mixte"/>
    <x v="1"/>
    <m/>
    <m/>
    <x v="1"/>
  </r>
  <r>
    <x v="327"/>
    <s v="planning"/>
    <x v="5"/>
    <x v="1"/>
    <x v="15"/>
    <m/>
    <s v="oui"/>
    <s v="non"/>
    <m/>
    <m/>
    <m/>
    <m/>
    <s v="mixte"/>
    <x v="1"/>
    <m/>
    <m/>
    <x v="1"/>
  </r>
  <r>
    <x v="328"/>
    <s v="hors-planning"/>
    <x v="5"/>
    <x v="1"/>
    <x v="15"/>
    <m/>
    <s v="oui"/>
    <s v="non"/>
    <m/>
    <m/>
    <m/>
    <m/>
    <s v="individuel"/>
    <x v="1"/>
    <m/>
    <m/>
    <x v="1"/>
  </r>
  <r>
    <x v="329"/>
    <s v="planning"/>
    <x v="4"/>
    <x v="1"/>
    <x v="10"/>
    <m/>
    <s v="non"/>
    <s v="non"/>
    <m/>
    <m/>
    <m/>
    <m/>
    <s v="mixte"/>
    <x v="3"/>
    <m/>
    <m/>
    <x v="1"/>
  </r>
  <r>
    <x v="32"/>
    <s v="planning"/>
    <x v="5"/>
    <x v="0"/>
    <x v="15"/>
    <m/>
    <s v="oui"/>
    <s v="non"/>
    <m/>
    <m/>
    <m/>
    <m/>
    <s v="collectif"/>
    <x v="1"/>
    <m/>
    <m/>
    <x v="1"/>
  </r>
  <r>
    <x v="330"/>
    <s v="planning"/>
    <x v="2"/>
    <x v="0"/>
    <x v="12"/>
    <m/>
    <s v="non"/>
    <s v="non"/>
    <m/>
    <m/>
    <m/>
    <m/>
    <s v="mixte"/>
    <x v="0"/>
    <m/>
    <m/>
    <x v="1"/>
  </r>
  <r>
    <x v="331"/>
    <s v="hors-planning"/>
    <x v="2"/>
    <x v="0"/>
    <x v="12"/>
    <m/>
    <s v="non"/>
    <s v="non"/>
    <m/>
    <m/>
    <m/>
    <m/>
    <s v="mixte"/>
    <x v="0"/>
    <m/>
    <m/>
    <x v="1"/>
  </r>
  <r>
    <x v="332"/>
    <s v="hors-planning"/>
    <x v="2"/>
    <x v="1"/>
    <x v="12"/>
    <m/>
    <s v="non"/>
    <s v="non"/>
    <m/>
    <m/>
    <m/>
    <m/>
    <s v="collectif"/>
    <x v="0"/>
    <m/>
    <m/>
    <x v="1"/>
  </r>
  <r>
    <x v="333"/>
    <s v="hors-planning"/>
    <x v="4"/>
    <x v="1"/>
    <x v="10"/>
    <m/>
    <s v="non"/>
    <s v="non"/>
    <m/>
    <m/>
    <m/>
    <m/>
    <s v="mixte"/>
    <x v="3"/>
    <m/>
    <m/>
    <x v="1"/>
  </r>
  <r>
    <x v="334"/>
    <s v="planning"/>
    <x v="1"/>
    <x v="0"/>
    <x v="13"/>
    <m/>
    <s v="non"/>
    <s v="non"/>
    <m/>
    <m/>
    <m/>
    <m/>
    <s v="mixte"/>
    <x v="2"/>
    <m/>
    <m/>
    <x v="1"/>
  </r>
  <r>
    <x v="335"/>
    <s v="hors-planning"/>
    <x v="4"/>
    <x v="0"/>
    <x v="10"/>
    <s v="Français"/>
    <s v="non"/>
    <s v="non"/>
    <m/>
    <n v="1"/>
    <s v="non"/>
    <s v="Tableau"/>
    <s v="collectif"/>
    <x v="3"/>
    <s v="LES SYRTES.docx"/>
    <m/>
    <x v="1"/>
  </r>
  <r>
    <x v="336"/>
    <s v="hors-planning"/>
    <x v="4"/>
    <x v="0"/>
    <x v="10"/>
    <s v="Informatique"/>
    <s v="non"/>
    <s v="non"/>
    <m/>
    <n v="1"/>
    <s v="oui"/>
    <s v="Excel / Tableur"/>
    <s v="individuel"/>
    <x v="3"/>
    <s v="Ma Machine de Gérard v2"/>
    <m/>
    <x v="1"/>
  </r>
  <r>
    <x v="337"/>
    <s v="hors-planning"/>
    <x v="4"/>
    <x v="0"/>
    <x v="10"/>
    <s v="Informatique"/>
    <s v="non"/>
    <s v="non"/>
    <m/>
    <n v="1"/>
    <s v="oui"/>
    <s v="Excel / Tableur"/>
    <s v="individuel"/>
    <x v="3"/>
    <s v="modeles_factures pour pas à pas excel.xlsx"/>
    <m/>
    <x v="1"/>
  </r>
  <r>
    <x v="338"/>
    <s v="hors-planning"/>
    <x v="4"/>
    <x v="0"/>
    <x v="24"/>
    <s v="TRONC COMMUN"/>
    <s v="non"/>
    <s v="oui"/>
    <s v="oui"/>
    <n v="1"/>
    <s v="oui"/>
    <m/>
    <s v="mixte"/>
    <x v="3"/>
    <s v="Ecrire sur l'eau"/>
    <s v="oui"/>
    <x v="0"/>
  </r>
  <r>
    <x v="98"/>
    <s v="planning"/>
    <x v="7"/>
    <x v="2"/>
    <x v="25"/>
    <s v="INTEGRATION"/>
    <s v="oui"/>
    <s v="oui"/>
    <s v="oui"/>
    <n v="1"/>
    <s v="oui"/>
    <m/>
    <s v="mixte"/>
    <x v="5"/>
    <s v="sans"/>
    <m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E83799-ED8D-4D4C-9881-68E2EB3D770F}" name="Tableau croisé dynamique1" cacheId="6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compact="0" compactData="0" multipleFieldFilters="0">
  <location ref="A3:E346" firstHeaderRow="1" firstDataRow="1" firstDataCol="4"/>
  <pivotFields count="17">
    <pivotField axis="axisRow" compact="0" outline="0" showAll="0" defaultSubtotal="0">
      <items count="339">
        <item x="313"/>
        <item x="62"/>
        <item x="141"/>
        <item x="140"/>
        <item x="318"/>
        <item x="16"/>
        <item x="300"/>
        <item x="46"/>
        <item x="106"/>
        <item x="43"/>
        <item x="154"/>
        <item x="111"/>
        <item x="238"/>
        <item x="206"/>
        <item x="209"/>
        <item x="208"/>
        <item x="230"/>
        <item x="229"/>
        <item x="236"/>
        <item x="314"/>
        <item x="63"/>
        <item x="305"/>
        <item x="265"/>
        <item x="264"/>
        <item x="202"/>
        <item x="296"/>
        <item x="298"/>
        <item x="113"/>
        <item x="72"/>
        <item x="329"/>
        <item x="15"/>
        <item x="324"/>
        <item x="325"/>
        <item x="333"/>
        <item x="64"/>
        <item x="48"/>
        <item x="309"/>
        <item x="95"/>
        <item x="310"/>
        <item x="34"/>
        <item x="316"/>
        <item x="248"/>
        <item x="242"/>
        <item x="315"/>
        <item x="92"/>
        <item x="204"/>
        <item x="260"/>
        <item x="241"/>
        <item x="200"/>
        <item x="334"/>
        <item x="249"/>
        <item x="250"/>
        <item x="317"/>
        <item x="153"/>
        <item x="151"/>
        <item x="152"/>
        <item x="139"/>
        <item x="138"/>
        <item x="233"/>
        <item x="234"/>
        <item x="326"/>
        <item x="327"/>
        <item x="24"/>
        <item x="201"/>
        <item x="199"/>
        <item x="18"/>
        <item x="297"/>
        <item x="99"/>
        <item x="286"/>
        <item x="44"/>
        <item x="289"/>
        <item x="270"/>
        <item x="96"/>
        <item x="220"/>
        <item x="218"/>
        <item x="221"/>
        <item x="98"/>
        <item x="231"/>
        <item x="257"/>
        <item x="237"/>
        <item x="338"/>
        <item x="262"/>
        <item x="9"/>
        <item x="61"/>
        <item x="1"/>
        <item x="51"/>
        <item x="3"/>
        <item x="45"/>
        <item x="81"/>
        <item x="6"/>
        <item x="4"/>
        <item x="7"/>
        <item x="5"/>
        <item x="8"/>
        <item x="52"/>
        <item x="195"/>
        <item x="180"/>
        <item x="193"/>
        <item x="194"/>
        <item x="179"/>
        <item x="185"/>
        <item x="188"/>
        <item x="190"/>
        <item x="191"/>
        <item x="192"/>
        <item x="186"/>
        <item x="182"/>
        <item x="189"/>
        <item x="187"/>
        <item x="181"/>
        <item x="184"/>
        <item x="183"/>
        <item x="112"/>
        <item x="115"/>
        <item x="110"/>
        <item x="268"/>
        <item x="12"/>
        <item x="232"/>
        <item x="130"/>
        <item x="127"/>
        <item x="128"/>
        <item x="129"/>
        <item x="269"/>
        <item x="280"/>
        <item x="239"/>
        <item x="311"/>
        <item x="271"/>
        <item x="146"/>
        <item x="144"/>
        <item x="145"/>
        <item x="290"/>
        <item x="38"/>
        <item x="125"/>
        <item x="126"/>
        <item x="124"/>
        <item x="32"/>
        <item x="68"/>
        <item x="150"/>
        <item x="37"/>
        <item x="156"/>
        <item x="59"/>
        <item x="291"/>
        <item x="74"/>
        <item x="65"/>
        <item x="35"/>
        <item x="2"/>
        <item x="336"/>
        <item x="55"/>
        <item x="272"/>
        <item x="243"/>
        <item x="312"/>
        <item x="273"/>
        <item x="330"/>
        <item x="335"/>
        <item x="71"/>
        <item x="306"/>
        <item x="319"/>
        <item x="97"/>
        <item x="274"/>
        <item x="66"/>
        <item x="104"/>
        <item x="275"/>
        <item x="78"/>
        <item x="261"/>
        <item x="70"/>
        <item x="219"/>
        <item x="337"/>
        <item x="320"/>
        <item x="321"/>
        <item x="303"/>
        <item x="276"/>
        <item x="26"/>
        <item x="27"/>
        <item x="75"/>
        <item x="86"/>
        <item x="304"/>
        <item x="302"/>
        <item x="80"/>
        <item x="328"/>
        <item x="49"/>
        <item x="29"/>
        <item x="277"/>
        <item x="19"/>
        <item x="83"/>
        <item x="205"/>
        <item x="203"/>
        <item x="88"/>
        <item x="331"/>
        <item x="84"/>
        <item x="76"/>
        <item x="90"/>
        <item x="100"/>
        <item x="91"/>
        <item x="94"/>
        <item x="252"/>
        <item x="253"/>
        <item x="254"/>
        <item x="87"/>
        <item x="295"/>
        <item x="287"/>
        <item x="266"/>
        <item x="213"/>
        <item x="214"/>
        <item x="215"/>
        <item x="210"/>
        <item x="216"/>
        <item x="217"/>
        <item x="212"/>
        <item x="292"/>
        <item x="147"/>
        <item x="256"/>
        <item x="17"/>
        <item x="109"/>
        <item x="108"/>
        <item x="135"/>
        <item x="134"/>
        <item x="278"/>
        <item x="293"/>
        <item x="149"/>
        <item x="148"/>
        <item x="14"/>
        <item x="102"/>
        <item x="133"/>
        <item x="131"/>
        <item x="132"/>
        <item x="60"/>
        <item x="228"/>
        <item x="227"/>
        <item x="225"/>
        <item x="226"/>
        <item x="197"/>
        <item x="198"/>
        <item x="196"/>
        <item x="107"/>
        <item x="11"/>
        <item x="47"/>
        <item x="103"/>
        <item x="118"/>
        <item x="120"/>
        <item x="121"/>
        <item x="123"/>
        <item x="122"/>
        <item x="117"/>
        <item x="119"/>
        <item x="116"/>
        <item x="245"/>
        <item x="247"/>
        <item x="322"/>
        <item x="279"/>
        <item x="222"/>
        <item x="223"/>
        <item x="258"/>
        <item x="73"/>
        <item x="89"/>
        <item x="155"/>
        <item x="82"/>
        <item x="57"/>
        <item x="105"/>
        <item x="58"/>
        <item x="93"/>
        <item x="69"/>
        <item x="288"/>
        <item x="224"/>
        <item x="240"/>
        <item x="255"/>
        <item x="251"/>
        <item x="101"/>
        <item x="211"/>
        <item x="53"/>
        <item x="23"/>
        <item x="54"/>
        <item x="31"/>
        <item x="332"/>
        <item x="301"/>
        <item x="77"/>
        <item x="85"/>
        <item x="22"/>
        <item x="30"/>
        <item x="79"/>
        <item x="323"/>
        <item x="114"/>
        <item x="25"/>
        <item x="50"/>
        <item x="0"/>
        <item x="10"/>
        <item x="67"/>
        <item x="207"/>
        <item x="41"/>
        <item x="39"/>
        <item x="42"/>
        <item x="40"/>
        <item x="20"/>
        <item x="28"/>
        <item x="284"/>
        <item x="281"/>
        <item x="282"/>
        <item x="283"/>
        <item x="285"/>
        <item x="143"/>
        <item x="142"/>
        <item x="267"/>
        <item x="13"/>
        <item x="307"/>
        <item x="259"/>
        <item x="21"/>
        <item x="294"/>
        <item x="56"/>
        <item x="246"/>
        <item x="263"/>
        <item x="33"/>
        <item x="36"/>
        <item x="244"/>
        <item x="137"/>
        <item x="136"/>
        <item x="308"/>
        <item x="235"/>
        <item x="174"/>
        <item x="159"/>
        <item x="160"/>
        <item x="161"/>
        <item x="177"/>
        <item x="178"/>
        <item x="170"/>
        <item x="168"/>
        <item x="165"/>
        <item x="173"/>
        <item x="169"/>
        <item x="175"/>
        <item x="176"/>
        <item x="171"/>
        <item x="164"/>
        <item x="163"/>
        <item x="157"/>
        <item x="166"/>
        <item x="162"/>
        <item x="167"/>
        <item x="172"/>
        <item x="158"/>
        <item x="299"/>
      </items>
    </pivotField>
    <pivotField compact="0" outline="0" showAll="0"/>
    <pivotField compact="0" outline="0" showAll="0">
      <items count="9">
        <item x="5"/>
        <item x="3"/>
        <item x="0"/>
        <item x="6"/>
        <item x="2"/>
        <item x="4"/>
        <item x="1"/>
        <item x="7"/>
        <item t="default"/>
      </items>
    </pivotField>
    <pivotField axis="axisRow" compact="0" outline="0" showAll="0" defaultSubtotal="0">
      <items count="6">
        <item x="2"/>
        <item x="3"/>
        <item x="5"/>
        <item x="1"/>
        <item x="4"/>
        <item x="0"/>
      </items>
    </pivotField>
    <pivotField axis="axisRow" compact="0" outline="0" showAll="0" defaultSubtotal="0">
      <items count="26">
        <item x="8"/>
        <item x="15"/>
        <item x="3"/>
        <item x="11"/>
        <item x="12"/>
        <item x="10"/>
        <item x="13"/>
        <item x="6"/>
        <item x="0"/>
        <item x="7"/>
        <item x="25"/>
        <item x="14"/>
        <item x="1"/>
        <item x="19"/>
        <item x="9"/>
        <item x="21"/>
        <item x="23"/>
        <item x="22"/>
        <item x="2"/>
        <item x="20"/>
        <item x="24"/>
        <item x="5"/>
        <item x="17"/>
        <item x="4"/>
        <item x="18"/>
        <item x="16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6">
        <item x="3"/>
        <item x="4"/>
        <item x="5"/>
        <item x="1"/>
        <item sd="0" x="0"/>
        <item x="2"/>
      </items>
    </pivotField>
    <pivotField compact="0" outline="0" showAll="0"/>
    <pivotField compact="0" outline="0" showAll="0"/>
    <pivotField dataField="1" compact="0" outline="0" showAll="0">
      <items count="3">
        <item x="0"/>
        <item x="1"/>
        <item t="default"/>
      </items>
    </pivotField>
  </pivotFields>
  <rowFields count="4">
    <field x="4"/>
    <field x="0"/>
    <field x="13"/>
    <field x="3"/>
  </rowFields>
  <rowItems count="343">
    <i>
      <x/>
      <x v="277"/>
      <x v="5"/>
      <x v="5"/>
    </i>
    <i>
      <x v="1"/>
      <x v="35"/>
      <x v="3"/>
      <x v="5"/>
    </i>
    <i r="1">
      <x v="60"/>
      <x v="3"/>
      <x v="3"/>
    </i>
    <i r="1">
      <x v="61"/>
      <x v="3"/>
      <x v="3"/>
    </i>
    <i r="1">
      <x v="135"/>
      <x v="3"/>
      <x v="5"/>
    </i>
    <i r="1">
      <x v="178"/>
      <x v="3"/>
      <x v="3"/>
    </i>
    <i r="1">
      <x v="179"/>
      <x v="3"/>
      <x v="5"/>
    </i>
    <i>
      <x v="2"/>
      <x v="89"/>
      <x v="1"/>
      <x v="3"/>
    </i>
    <i r="1">
      <x v="90"/>
      <x v="3"/>
      <x v="3"/>
    </i>
    <i r="1">
      <x v="91"/>
      <x v="2"/>
      <x v="3"/>
    </i>
    <i r="1">
      <x v="92"/>
      <x/>
      <x v="3"/>
    </i>
    <i r="1">
      <x v="93"/>
      <x v="3"/>
      <x v="3"/>
    </i>
    <i r="1">
      <x v="116"/>
      <x v="5"/>
      <x v="1"/>
    </i>
    <i r="1">
      <x v="211"/>
      <x/>
      <x/>
    </i>
    <i r="1">
      <x v="220"/>
      <x v="3"/>
      <x v="1"/>
    </i>
    <i r="1">
      <x v="234"/>
      <x/>
      <x v="1"/>
    </i>
    <i r="1">
      <x v="301"/>
      <x/>
      <x v="1"/>
    </i>
    <i>
      <x v="3"/>
      <x v="39"/>
      <x v="4"/>
    </i>
    <i r="1">
      <x v="44"/>
      <x v="4"/>
    </i>
    <i r="1">
      <x v="69"/>
      <x v="5"/>
      <x v="5"/>
    </i>
    <i r="1">
      <x v="94"/>
      <x v="5"/>
      <x v="5"/>
    </i>
    <i r="1">
      <x v="144"/>
      <x v="5"/>
      <x v="5"/>
    </i>
    <i r="1">
      <x v="183"/>
      <x v="4"/>
    </i>
    <i r="1">
      <x v="188"/>
      <x v="5"/>
      <x v="3"/>
    </i>
    <i r="1">
      <x v="233"/>
      <x v="5"/>
      <x v="5"/>
    </i>
    <i r="1">
      <x v="235"/>
      <x v="5"/>
      <x v="5"/>
    </i>
    <i r="1">
      <x v="255"/>
      <x v="4"/>
    </i>
    <i r="1">
      <x v="259"/>
      <x v="4"/>
    </i>
    <i r="1">
      <x v="275"/>
      <x v="2"/>
      <x v="3"/>
    </i>
    <i r="1">
      <x v="287"/>
      <x/>
      <x v="5"/>
    </i>
    <i r="1">
      <x v="288"/>
      <x v="5"/>
      <x v="5"/>
    </i>
    <i r="1">
      <x v="289"/>
      <x v="5"/>
      <x v="5"/>
    </i>
    <i r="1">
      <x v="290"/>
      <x v="5"/>
      <x v="5"/>
    </i>
    <i r="1">
      <x v="309"/>
      <x v="4"/>
    </i>
    <i>
      <x v="4"/>
      <x v="1"/>
      <x v="3"/>
      <x v="3"/>
    </i>
    <i r="1">
      <x v="7"/>
      <x v="5"/>
      <x v="5"/>
    </i>
    <i r="1">
      <x v="20"/>
      <x v="5"/>
      <x v="3"/>
    </i>
    <i r="1">
      <x v="28"/>
      <x v="2"/>
      <x v="3"/>
    </i>
    <i r="1">
      <x v="34"/>
      <x v="4"/>
    </i>
    <i r="1">
      <x v="67"/>
      <x v="4"/>
    </i>
    <i r="1">
      <x v="83"/>
      <x v="4"/>
    </i>
    <i r="1">
      <x v="85"/>
      <x v="5"/>
      <x v="2"/>
    </i>
    <i r="1">
      <x v="88"/>
      <x v="4"/>
    </i>
    <i r="1">
      <x v="131"/>
      <x v="5"/>
      <x v="5"/>
    </i>
    <i r="1">
      <x v="136"/>
      <x v="3"/>
      <x v="3"/>
    </i>
    <i r="1">
      <x v="138"/>
      <x v="4"/>
    </i>
    <i r="1">
      <x v="142"/>
      <x v="3"/>
      <x v="3"/>
    </i>
    <i r="1">
      <x v="143"/>
      <x v="3"/>
      <x v="3"/>
    </i>
    <i r="1">
      <x v="152"/>
      <x v="4"/>
    </i>
    <i r="1">
      <x v="154"/>
      <x v="4"/>
    </i>
    <i r="1">
      <x v="159"/>
      <x v="2"/>
      <x v="3"/>
    </i>
    <i r="1">
      <x v="160"/>
      <x v="4"/>
    </i>
    <i r="1">
      <x v="162"/>
      <x v="4"/>
    </i>
    <i r="1">
      <x v="164"/>
      <x v="4"/>
    </i>
    <i r="1">
      <x v="173"/>
      <x v="1"/>
      <x v="3"/>
    </i>
    <i r="1">
      <x v="174"/>
      <x v="4"/>
    </i>
    <i r="1">
      <x v="177"/>
      <x v="2"/>
      <x v="3"/>
    </i>
    <i r="1">
      <x v="186"/>
      <x v="3"/>
      <x v="3"/>
    </i>
    <i r="1">
      <x v="187"/>
      <x v="4"/>
    </i>
    <i r="1">
      <x v="189"/>
      <x v="3"/>
      <x v="3"/>
    </i>
    <i r="1">
      <x v="190"/>
      <x v="3"/>
      <x v="3"/>
    </i>
    <i r="1">
      <x v="191"/>
      <x v="4"/>
    </i>
    <i r="1">
      <x v="192"/>
      <x v="3"/>
      <x v="3"/>
    </i>
    <i r="1">
      <x v="197"/>
      <x v="5"/>
      <x v="3"/>
    </i>
    <i r="1">
      <x v="221"/>
      <x v="2"/>
      <x v="3"/>
    </i>
    <i r="1">
      <x v="236"/>
      <x v="5"/>
      <x v="3"/>
    </i>
    <i r="1">
      <x v="252"/>
      <x v="3"/>
      <x v="3"/>
    </i>
    <i r="1">
      <x v="253"/>
      <x v="5"/>
      <x v="3"/>
    </i>
    <i r="1">
      <x v="257"/>
      <x v="5"/>
      <x v="3"/>
    </i>
    <i r="1">
      <x v="260"/>
      <x v="3"/>
      <x v="3"/>
    </i>
    <i r="1">
      <x v="266"/>
      <x v="3"/>
      <x v="3"/>
    </i>
    <i r="1">
      <x v="268"/>
      <x v="5"/>
      <x v="5"/>
    </i>
    <i r="1">
      <x v="270"/>
      <x v="2"/>
      <x v="5"/>
    </i>
    <i r="1">
      <x v="272"/>
      <x v="4"/>
    </i>
    <i r="1">
      <x v="274"/>
      <x v="5"/>
      <x v="3"/>
    </i>
    <i r="1">
      <x v="278"/>
      <x v="5"/>
      <x v="3"/>
    </i>
    <i r="1">
      <x v="282"/>
      <x v="5"/>
      <x v="4"/>
    </i>
    <i r="1">
      <x v="285"/>
      <x v="4"/>
    </i>
    <i r="1">
      <x v="310"/>
      <x v="4"/>
    </i>
    <i>
      <x v="5"/>
      <x v="2"/>
      <x/>
      <x v="5"/>
    </i>
    <i r="1">
      <x v="3"/>
      <x/>
      <x v="5"/>
    </i>
    <i r="1">
      <x v="10"/>
      <x/>
      <x v="5"/>
    </i>
    <i r="1">
      <x v="11"/>
      <x v="2"/>
      <x v="5"/>
    </i>
    <i r="1">
      <x v="12"/>
      <x/>
      <x v="5"/>
    </i>
    <i r="1">
      <x v="13"/>
      <x/>
      <x v="5"/>
    </i>
    <i r="1">
      <x v="14"/>
      <x/>
      <x v="5"/>
    </i>
    <i r="1">
      <x v="15"/>
      <x/>
      <x v="5"/>
    </i>
    <i r="1">
      <x v="16"/>
      <x/>
      <x v="5"/>
    </i>
    <i r="1">
      <x v="17"/>
      <x/>
      <x v="5"/>
    </i>
    <i r="1">
      <x v="18"/>
      <x/>
      <x v="5"/>
    </i>
    <i r="1">
      <x v="22"/>
      <x/>
      <x v="5"/>
    </i>
    <i r="1">
      <x v="23"/>
      <x/>
      <x v="5"/>
    </i>
    <i r="1">
      <x v="27"/>
      <x v="2"/>
      <x v="5"/>
    </i>
    <i r="1">
      <x v="29"/>
      <x/>
      <x v="3"/>
    </i>
    <i r="1">
      <x v="31"/>
      <x v="3"/>
      <x v="3"/>
    </i>
    <i r="1">
      <x v="32"/>
      <x v="3"/>
      <x v="3"/>
    </i>
    <i r="1">
      <x v="33"/>
      <x/>
      <x v="3"/>
    </i>
    <i r="1">
      <x v="41"/>
      <x/>
      <x v="5"/>
    </i>
    <i r="1">
      <x v="42"/>
      <x/>
      <x v="5"/>
    </i>
    <i r="1">
      <x v="45"/>
      <x/>
      <x v="5"/>
    </i>
    <i r="1">
      <x v="46"/>
      <x/>
      <x v="5"/>
    </i>
    <i r="1">
      <x v="47"/>
      <x/>
      <x v="5"/>
    </i>
    <i r="1">
      <x v="48"/>
      <x/>
      <x v="5"/>
    </i>
    <i r="1">
      <x v="50"/>
      <x/>
      <x v="5"/>
    </i>
    <i r="1">
      <x v="51"/>
      <x/>
      <x v="5"/>
    </i>
    <i r="1">
      <x v="53"/>
      <x/>
      <x v="5"/>
    </i>
    <i r="1">
      <x v="54"/>
      <x/>
      <x v="5"/>
    </i>
    <i r="1">
      <x v="55"/>
      <x/>
      <x v="5"/>
    </i>
    <i r="1">
      <x v="56"/>
      <x/>
      <x v="5"/>
    </i>
    <i r="1">
      <x v="57"/>
      <x/>
      <x v="5"/>
    </i>
    <i r="1">
      <x v="58"/>
      <x/>
      <x v="5"/>
    </i>
    <i r="1">
      <x v="59"/>
      <x/>
      <x v="5"/>
    </i>
    <i r="1">
      <x v="63"/>
      <x/>
      <x v="5"/>
    </i>
    <i r="1">
      <x v="64"/>
      <x/>
      <x v="5"/>
    </i>
    <i r="1">
      <x v="73"/>
      <x/>
      <x v="5"/>
    </i>
    <i r="1">
      <x v="74"/>
      <x/>
      <x v="5"/>
    </i>
    <i r="1">
      <x v="75"/>
      <x/>
      <x v="5"/>
    </i>
    <i r="1">
      <x v="77"/>
      <x/>
      <x v="5"/>
    </i>
    <i r="1">
      <x v="78"/>
      <x/>
      <x v="5"/>
    </i>
    <i r="1">
      <x v="79"/>
      <x/>
      <x v="5"/>
    </i>
    <i r="1">
      <x v="81"/>
      <x/>
      <x v="5"/>
    </i>
    <i r="1">
      <x v="95"/>
      <x/>
      <x v="5"/>
    </i>
    <i r="1">
      <x v="96"/>
      <x/>
      <x v="5"/>
    </i>
    <i r="1">
      <x v="97"/>
      <x/>
      <x v="5"/>
    </i>
    <i r="1">
      <x v="98"/>
      <x/>
      <x v="5"/>
    </i>
    <i r="1">
      <x v="99"/>
      <x/>
      <x v="5"/>
    </i>
    <i r="1">
      <x v="100"/>
      <x/>
      <x v="5"/>
    </i>
    <i r="1">
      <x v="101"/>
      <x/>
      <x v="5"/>
    </i>
    <i r="1">
      <x v="102"/>
      <x/>
      <x v="5"/>
    </i>
    <i r="1">
      <x v="103"/>
      <x/>
      <x v="5"/>
    </i>
    <i r="1">
      <x v="104"/>
      <x/>
      <x v="5"/>
    </i>
    <i r="1">
      <x v="105"/>
      <x/>
      <x v="5"/>
    </i>
    <i r="1">
      <x v="106"/>
      <x/>
      <x v="5"/>
    </i>
    <i r="1">
      <x v="107"/>
      <x/>
      <x v="5"/>
    </i>
    <i r="1">
      <x v="108"/>
      <x/>
      <x v="5"/>
    </i>
    <i r="1">
      <x v="109"/>
      <x/>
      <x v="5"/>
    </i>
    <i r="1">
      <x v="110"/>
      <x/>
      <x v="5"/>
    </i>
    <i r="1">
      <x v="111"/>
      <x/>
      <x v="5"/>
    </i>
    <i r="1">
      <x v="112"/>
      <x v="2"/>
      <x v="5"/>
    </i>
    <i r="1">
      <x v="113"/>
      <x/>
      <x v="3"/>
    </i>
    <i r="1">
      <x v="114"/>
      <x v="2"/>
      <x v="5"/>
    </i>
    <i r="1">
      <x v="115"/>
      <x v="2"/>
      <x v="5"/>
    </i>
    <i r="1">
      <x v="117"/>
      <x/>
      <x v="5"/>
    </i>
    <i r="1">
      <x v="118"/>
      <x/>
      <x v="5"/>
    </i>
    <i r="1">
      <x v="119"/>
      <x/>
      <x v="5"/>
    </i>
    <i r="1">
      <x v="120"/>
      <x/>
      <x v="5"/>
    </i>
    <i r="1">
      <x v="121"/>
      <x/>
      <x v="5"/>
    </i>
    <i r="1">
      <x v="124"/>
      <x/>
      <x/>
    </i>
    <i r="1">
      <x v="127"/>
      <x/>
      <x v="5"/>
    </i>
    <i r="1">
      <x v="128"/>
      <x/>
      <x v="5"/>
    </i>
    <i r="1">
      <x v="129"/>
      <x/>
      <x v="5"/>
    </i>
    <i r="1">
      <x v="132"/>
      <x/>
      <x v="5"/>
    </i>
    <i r="1">
      <x v="133"/>
      <x/>
      <x v="5"/>
    </i>
    <i r="1">
      <x v="134"/>
      <x/>
      <x v="5"/>
    </i>
    <i r="1">
      <x v="135"/>
      <x v="3"/>
      <x v="3"/>
    </i>
    <i r="1">
      <x v="137"/>
      <x/>
      <x v="5"/>
    </i>
    <i r="1">
      <x v="146"/>
      <x/>
      <x v="5"/>
    </i>
    <i r="1">
      <x v="149"/>
      <x/>
      <x v="5"/>
    </i>
    <i r="1">
      <x v="153"/>
      <x/>
      <x v="5"/>
    </i>
    <i r="1">
      <x v="163"/>
      <x/>
      <x v="5"/>
    </i>
    <i r="1">
      <x v="165"/>
      <x/>
      <x v="5"/>
    </i>
    <i r="1">
      <x v="166"/>
      <x/>
      <x v="5"/>
    </i>
    <i r="1">
      <x v="184"/>
      <x/>
      <x v="5"/>
    </i>
    <i r="1">
      <x v="185"/>
      <x/>
      <x v="5"/>
    </i>
    <i r="1">
      <x v="194"/>
      <x/>
      <x v="5"/>
    </i>
    <i r="1">
      <x v="195"/>
      <x/>
      <x v="5"/>
    </i>
    <i r="1">
      <x v="196"/>
      <x/>
      <x v="5"/>
    </i>
    <i r="1">
      <x v="200"/>
      <x/>
      <x v="5"/>
    </i>
    <i r="1">
      <x v="201"/>
      <x/>
      <x v="5"/>
    </i>
    <i r="1">
      <x v="202"/>
      <x/>
      <x v="5"/>
    </i>
    <i r="1">
      <x v="203"/>
      <x/>
      <x v="5"/>
    </i>
    <i r="1">
      <x v="204"/>
      <x/>
      <x v="5"/>
    </i>
    <i r="1">
      <x v="205"/>
      <x/>
      <x v="5"/>
    </i>
    <i r="1">
      <x v="206"/>
      <x/>
      <x v="5"/>
    </i>
    <i r="1">
      <x v="207"/>
      <x/>
      <x v="5"/>
    </i>
    <i r="1">
      <x v="209"/>
      <x/>
      <x v="5"/>
    </i>
    <i r="1">
      <x v="210"/>
      <x/>
      <x v="5"/>
    </i>
    <i r="1">
      <x v="212"/>
      <x v="2"/>
      <x v="5"/>
    </i>
    <i r="1">
      <x v="213"/>
      <x v="2"/>
      <x v="5"/>
    </i>
    <i r="1">
      <x v="214"/>
      <x/>
      <x v="5"/>
    </i>
    <i r="1">
      <x v="215"/>
      <x/>
      <x v="5"/>
    </i>
    <i r="1">
      <x v="218"/>
      <x/>
      <x v="5"/>
    </i>
    <i r="1">
      <x v="219"/>
      <x/>
      <x v="5"/>
    </i>
    <i r="1">
      <x v="222"/>
      <x/>
      <x v="5"/>
    </i>
    <i r="1">
      <x v="223"/>
      <x/>
      <x v="5"/>
    </i>
    <i r="1">
      <x v="224"/>
      <x/>
      <x v="5"/>
    </i>
    <i r="1">
      <x v="226"/>
      <x/>
      <x v="5"/>
    </i>
    <i r="1">
      <x v="227"/>
      <x/>
      <x v="5"/>
    </i>
    <i r="1">
      <x v="228"/>
      <x/>
      <x v="5"/>
    </i>
    <i r="1">
      <x v="229"/>
      <x/>
      <x v="5"/>
    </i>
    <i r="1">
      <x v="230"/>
      <x/>
      <x v="5"/>
    </i>
    <i r="1">
      <x v="231"/>
      <x/>
      <x v="5"/>
    </i>
    <i r="1">
      <x v="232"/>
      <x/>
      <x v="5"/>
    </i>
    <i r="1">
      <x v="237"/>
      <x/>
      <x v="5"/>
    </i>
    <i r="1">
      <x v="238"/>
      <x/>
      <x v="5"/>
    </i>
    <i r="1">
      <x v="239"/>
      <x/>
      <x v="5"/>
    </i>
    <i r="1">
      <x v="240"/>
      <x/>
      <x v="5"/>
    </i>
    <i r="1">
      <x v="241"/>
      <x/>
      <x v="5"/>
    </i>
    <i r="1">
      <x v="242"/>
      <x/>
      <x v="5"/>
    </i>
    <i r="1">
      <x v="243"/>
      <x/>
      <x v="5"/>
    </i>
    <i r="1">
      <x v="244"/>
      <x/>
      <x v="5"/>
    </i>
    <i r="1">
      <x v="245"/>
      <x/>
      <x v="5"/>
    </i>
    <i r="1">
      <x v="246"/>
      <x/>
      <x v="5"/>
    </i>
    <i r="1">
      <x v="249"/>
      <x/>
      <x v="5"/>
    </i>
    <i r="1">
      <x v="250"/>
      <x/>
      <x v="5"/>
    </i>
    <i r="1">
      <x v="251"/>
      <x/>
      <x v="5"/>
    </i>
    <i r="1">
      <x v="254"/>
      <x/>
      <x v="5"/>
    </i>
    <i r="1">
      <x v="262"/>
      <x/>
      <x v="5"/>
    </i>
    <i r="1">
      <x v="263"/>
      <x/>
      <x v="5"/>
    </i>
    <i r="1">
      <x v="264"/>
      <x/>
      <x v="5"/>
    </i>
    <i r="1">
      <x v="265"/>
      <x/>
      <x v="5"/>
    </i>
    <i r="1">
      <x v="267"/>
      <x/>
      <x v="5"/>
    </i>
    <i r="1">
      <x v="280"/>
      <x v="2"/>
      <x v="5"/>
    </i>
    <i r="1">
      <x v="286"/>
      <x/>
      <x v="5"/>
    </i>
    <i r="1">
      <x v="298"/>
      <x/>
      <x v="5"/>
    </i>
    <i r="1">
      <x v="299"/>
      <x/>
      <x v="5"/>
    </i>
    <i r="1">
      <x v="300"/>
      <x/>
      <x v="5"/>
    </i>
    <i r="1">
      <x v="303"/>
      <x/>
      <x v="5"/>
    </i>
    <i r="1">
      <x v="307"/>
      <x/>
      <x v="5"/>
    </i>
    <i r="1">
      <x v="308"/>
      <x/>
      <x v="5"/>
    </i>
    <i r="1">
      <x v="311"/>
      <x/>
      <x v="5"/>
    </i>
    <i r="1">
      <x v="312"/>
      <x/>
      <x v="5"/>
    </i>
    <i r="1">
      <x v="313"/>
      <x/>
      <x v="5"/>
    </i>
    <i r="1">
      <x v="315"/>
      <x/>
      <x v="5"/>
    </i>
    <i r="1">
      <x v="316"/>
      <x/>
      <x v="5"/>
    </i>
    <i r="1">
      <x v="317"/>
      <x/>
      <x v="5"/>
    </i>
    <i r="1">
      <x v="318"/>
      <x/>
      <x v="5"/>
    </i>
    <i r="1">
      <x v="319"/>
      <x/>
      <x v="5"/>
    </i>
    <i r="1">
      <x v="320"/>
      <x/>
      <x v="5"/>
    </i>
    <i r="1">
      <x v="321"/>
      <x/>
      <x v="5"/>
    </i>
    <i r="1">
      <x v="322"/>
      <x/>
      <x v="5"/>
    </i>
    <i r="1">
      <x v="323"/>
      <x/>
      <x v="5"/>
    </i>
    <i r="1">
      <x v="324"/>
      <x/>
      <x v="5"/>
    </i>
    <i r="1">
      <x v="325"/>
      <x/>
      <x v="5"/>
    </i>
    <i r="1">
      <x v="326"/>
      <x/>
      <x v="5"/>
    </i>
    <i r="1">
      <x v="327"/>
      <x/>
      <x v="5"/>
    </i>
    <i r="1">
      <x v="328"/>
      <x/>
      <x v="5"/>
    </i>
    <i r="1">
      <x v="329"/>
      <x/>
      <x v="5"/>
    </i>
    <i r="1">
      <x v="330"/>
      <x/>
      <x v="5"/>
    </i>
    <i r="1">
      <x v="331"/>
      <x/>
      <x v="5"/>
    </i>
    <i r="1">
      <x v="332"/>
      <x/>
      <x v="5"/>
    </i>
    <i r="1">
      <x v="333"/>
      <x/>
      <x v="5"/>
    </i>
    <i r="1">
      <x v="334"/>
      <x/>
      <x v="5"/>
    </i>
    <i r="1">
      <x v="335"/>
      <x/>
      <x v="5"/>
    </i>
    <i r="1">
      <x v="336"/>
      <x/>
      <x v="5"/>
    </i>
    <i r="1">
      <x v="337"/>
      <x/>
      <x v="5"/>
    </i>
    <i>
      <x v="6"/>
      <x v="9"/>
      <x v="1"/>
      <x v="5"/>
    </i>
    <i r="1">
      <x v="49"/>
      <x v="5"/>
      <x v="5"/>
    </i>
    <i>
      <x v="7"/>
      <x v="30"/>
      <x v="3"/>
      <x/>
    </i>
    <i r="1">
      <x v="62"/>
      <x v="3"/>
      <x/>
    </i>
    <i r="1">
      <x v="171"/>
      <x v="3"/>
      <x/>
    </i>
    <i r="1">
      <x v="172"/>
      <x v="3"/>
      <x/>
    </i>
    <i r="1">
      <x v="281"/>
      <x v="3"/>
      <x/>
    </i>
    <i>
      <x v="8"/>
      <x v="283"/>
      <x v="4"/>
    </i>
    <i>
      <x v="9"/>
      <x v="37"/>
      <x v="4"/>
    </i>
    <i r="1">
      <x v="65"/>
      <x v="5"/>
      <x/>
    </i>
    <i r="1">
      <x v="182"/>
      <x v="5"/>
      <x/>
    </i>
    <i r="1">
      <x v="193"/>
      <x v="4"/>
    </i>
    <i r="1">
      <x v="276"/>
      <x v="2"/>
      <x/>
    </i>
    <i r="1">
      <x v="304"/>
      <x v="4"/>
    </i>
    <i>
      <x v="10"/>
      <x v="76"/>
      <x v="2"/>
      <x/>
    </i>
    <i>
      <x v="11"/>
      <x v="87"/>
      <x v="5"/>
      <x v="5"/>
    </i>
    <i>
      <x v="12"/>
      <x v="84"/>
      <x v="3"/>
      <x v="5"/>
    </i>
    <i r="1">
      <x v="86"/>
      <x v="5"/>
      <x/>
    </i>
    <i>
      <x v="13"/>
      <x v="24"/>
      <x/>
      <x v="3"/>
    </i>
    <i r="1">
      <x v="68"/>
      <x/>
      <x v="5"/>
    </i>
    <i r="1">
      <x v="71"/>
      <x v="4"/>
    </i>
    <i r="1">
      <x v="122"/>
      <x v="5"/>
      <x v="3"/>
    </i>
    <i r="1">
      <x v="123"/>
      <x/>
      <x v="5"/>
    </i>
    <i r="1">
      <x v="126"/>
      <x/>
      <x v="5"/>
    </i>
    <i r="1">
      <x v="148"/>
      <x v="4"/>
    </i>
    <i r="1">
      <x v="151"/>
      <x v="4"/>
    </i>
    <i r="1">
      <x v="158"/>
      <x v="4"/>
    </i>
    <i r="1">
      <x v="161"/>
      <x v="4"/>
    </i>
    <i r="1">
      <x v="170"/>
      <x v="4"/>
    </i>
    <i r="1">
      <x v="181"/>
      <x v="5"/>
      <x v="5"/>
    </i>
    <i r="1">
      <x v="199"/>
      <x v="4"/>
    </i>
    <i r="1">
      <x v="216"/>
      <x v="4"/>
    </i>
    <i r="1">
      <x v="248"/>
      <x/>
      <x v="5"/>
    </i>
    <i r="1">
      <x v="293"/>
      <x/>
      <x v="5"/>
    </i>
    <i r="1">
      <x v="294"/>
      <x/>
      <x v="5"/>
    </i>
    <i r="1">
      <x v="295"/>
      <x/>
      <x v="5"/>
    </i>
    <i r="1">
      <x v="296"/>
      <x/>
      <x v="5"/>
    </i>
    <i r="1">
      <x v="297"/>
      <x/>
      <x v="5"/>
    </i>
    <i>
      <x v="14"/>
      <x v="76"/>
      <x v="4"/>
    </i>
    <i r="1">
      <x v="139"/>
      <x/>
      <x/>
    </i>
    <i r="1">
      <x v="140"/>
      <x v="4"/>
    </i>
    <i r="1">
      <x v="147"/>
      <x v="3"/>
      <x/>
    </i>
    <i r="1">
      <x v="225"/>
      <x v="3"/>
      <x/>
    </i>
    <i r="1">
      <x v="271"/>
      <x v="5"/>
      <x/>
    </i>
    <i>
      <x v="15"/>
      <x v="6"/>
      <x/>
      <x v="5"/>
    </i>
    <i>
      <x v="16"/>
      <x/>
      <x/>
      <x v="3"/>
    </i>
    <i r="1">
      <x v="4"/>
      <x/>
      <x v="3"/>
    </i>
    <i r="1">
      <x v="6"/>
      <x/>
      <x v="3"/>
    </i>
    <i r="1">
      <x v="19"/>
      <x/>
      <x v="3"/>
    </i>
    <i r="1">
      <x v="38"/>
      <x v="4"/>
    </i>
    <i r="1">
      <x v="40"/>
      <x/>
      <x v="3"/>
    </i>
    <i r="1">
      <x v="43"/>
      <x/>
      <x v="3"/>
    </i>
    <i r="1">
      <x v="52"/>
      <x/>
      <x v="3"/>
    </i>
    <i r="1">
      <x v="125"/>
      <x v="4"/>
    </i>
    <i r="1">
      <x v="150"/>
      <x v="4"/>
    </i>
    <i r="1">
      <x v="156"/>
      <x/>
      <x v="3"/>
    </i>
    <i r="1">
      <x v="167"/>
      <x/>
      <x v="3"/>
    </i>
    <i r="1">
      <x v="168"/>
      <x/>
      <x v="3"/>
    </i>
    <i r="1">
      <x v="247"/>
      <x/>
      <x v="3"/>
    </i>
    <i r="1">
      <x v="279"/>
      <x v="2"/>
      <x v="3"/>
    </i>
    <i>
      <x v="17"/>
      <x v="21"/>
      <x/>
      <x v="3"/>
    </i>
    <i r="1">
      <x v="36"/>
      <x v="5"/>
      <x v="3"/>
    </i>
    <i r="1">
      <x v="155"/>
      <x v="4"/>
    </i>
    <i r="1">
      <x v="169"/>
      <x v="4"/>
    </i>
    <i r="1">
      <x v="175"/>
      <x v="4"/>
    </i>
    <i r="1">
      <x v="176"/>
      <x v="4"/>
    </i>
    <i r="1">
      <x v="273"/>
      <x/>
      <x v="3"/>
    </i>
    <i r="1">
      <x v="302"/>
      <x/>
      <x v="3"/>
    </i>
    <i r="1">
      <x v="314"/>
      <x v="4"/>
    </i>
    <i>
      <x v="18"/>
      <x v="5"/>
      <x v="2"/>
      <x/>
    </i>
    <i r="1">
      <x v="145"/>
      <x v="5"/>
      <x v="3"/>
    </i>
    <i r="1">
      <x v="180"/>
      <x/>
      <x/>
    </i>
    <i r="1">
      <x v="269"/>
      <x v="5"/>
      <x/>
    </i>
    <i r="1">
      <x v="291"/>
      <x v="5"/>
      <x/>
    </i>
    <i r="1">
      <x v="292"/>
      <x v="4"/>
    </i>
    <i>
      <x v="19"/>
      <x v="25"/>
      <x/>
      <x v="5"/>
    </i>
    <i r="1">
      <x v="26"/>
      <x/>
      <x v="5"/>
    </i>
    <i r="1">
      <x v="66"/>
      <x/>
      <x v="5"/>
    </i>
    <i r="1">
      <x v="70"/>
      <x/>
      <x v="5"/>
    </i>
    <i r="1">
      <x v="130"/>
      <x/>
      <x v="5"/>
    </i>
    <i r="1">
      <x v="141"/>
      <x/>
      <x v="5"/>
    </i>
    <i r="1">
      <x v="198"/>
      <x/>
      <x v="5"/>
    </i>
    <i r="1">
      <x v="208"/>
      <x/>
      <x v="5"/>
    </i>
    <i r="1">
      <x v="217"/>
      <x/>
      <x v="5"/>
    </i>
    <i r="1">
      <x v="305"/>
      <x/>
      <x v="5"/>
    </i>
    <i r="1">
      <x v="338"/>
      <x/>
      <x v="5"/>
    </i>
    <i>
      <x v="20"/>
      <x v="80"/>
      <x/>
      <x v="5"/>
    </i>
    <i>
      <x v="21"/>
      <x v="284"/>
      <x/>
      <x v="3"/>
    </i>
    <i>
      <x v="22"/>
      <x v="72"/>
      <x v="4"/>
    </i>
    <i>
      <x v="23"/>
      <x v="82"/>
      <x v="4"/>
    </i>
    <i>
      <x v="24"/>
      <x v="157"/>
      <x v="4"/>
    </i>
    <i>
      <x v="25"/>
      <x v="8"/>
      <x v="5"/>
      <x v="5"/>
    </i>
    <i r="1">
      <x v="256"/>
      <x v="4"/>
    </i>
    <i r="1">
      <x v="258"/>
      <x v="1"/>
      <x/>
    </i>
    <i r="1">
      <x v="261"/>
      <x/>
      <x v="5"/>
    </i>
    <i r="1">
      <x v="306"/>
      <x v="5"/>
      <x v="5"/>
    </i>
    <i t="grand">
      <x/>
    </i>
  </rowItems>
  <colItems count="1">
    <i/>
  </colItems>
  <dataFields count="1">
    <dataField name=" compétences" fld="16" baseField="0" baseItem="0"/>
  </dataFields>
  <formats count="2">
    <format dxfId="14">
      <pivotArea dataOnly="0" labelOnly="1" outline="0" axis="axisValues" fieldPosition="0"/>
    </format>
    <format dxfId="15">
      <pivotArea field="0" type="button" dataOnly="0" labelOnly="1" outline="0" axis="axisRow" fieldPosition="1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97EEED-893E-4977-AC56-166169736C01}" name="Tableau1" displayName="Tableau1" ref="A2:AM33" totalsRowShown="0" headerRowDxfId="13">
  <autoFilter ref="A2:AM33" xr:uid="{E597EEED-893E-4977-AC56-166169736C01}"/>
  <tableColumns count="39">
    <tableColumn id="1" xr3:uid="{5BB5AD4D-0808-4155-9847-B74B8EB222BB}" name="Séances"/>
    <tableColumn id="2" xr3:uid="{3E5EDA7D-CEA3-437B-89BD-C434647FD947}" name="ok up2c"/>
    <tableColumn id="3" xr3:uid="{03A375C8-7550-42DC-86B9-5E159DBD0D87}" name="Count">
      <calculatedColumnFormula>COUNTIF(D3:AL3,"oui")</calculatedColumnFormula>
    </tableColumn>
    <tableColumn id="4" xr3:uid="{4C62D0BD-E9F5-444D-8536-1B59755D13A6}" name="1a"/>
    <tableColumn id="5" xr3:uid="{1F74709C-10F4-41BB-B148-8767CB605569}" name="1b"/>
    <tableColumn id="6" xr3:uid="{DBFD3978-4DE7-4ADF-95F7-4306F12A908E}" name="1c"/>
    <tableColumn id="7" xr3:uid="{219A8517-9F25-4CFA-BAE3-935395D7BFD1}" name="1d"/>
    <tableColumn id="8" xr3:uid="{688B6937-7A1E-498C-AEC0-271F4E0A4C58}" name="1e"/>
    <tableColumn id="9" xr3:uid="{4E7AE745-7705-4F55-A204-434FEEAD6E3B}" name="2a"/>
    <tableColumn id="10" xr3:uid="{B740CBE5-30FD-49E0-91DD-8F54AFB6A078}" name="2b"/>
    <tableColumn id="11" xr3:uid="{17D7C707-7636-42E2-B548-7BB6A268E121}" name="2c"/>
    <tableColumn id="12" xr3:uid="{27B3E618-B6E8-4008-A1E6-299E45B7EE6C}" name="2d"/>
    <tableColumn id="13" xr3:uid="{4E9C1B39-4E48-454B-9132-679982D019DE}" name="3a"/>
    <tableColumn id="14" xr3:uid="{5BBA9527-E81E-46CB-9900-190D6F066275}" name="3b"/>
    <tableColumn id="15" xr3:uid="{61009A2C-BFBE-4B93-B7A5-E435F15EE093}" name="3c"/>
    <tableColumn id="16" xr3:uid="{776A89E3-AB0D-4BF0-9B40-6552A537B8EF}" name="3d"/>
    <tableColumn id="17" xr3:uid="{1E3788AD-15D4-436E-A0D8-030325CC7B55}" name="3e"/>
    <tableColumn id="18" xr3:uid="{056C649D-0AAF-45AD-8A28-6EF205BAE43B}" name="4a"/>
    <tableColumn id="19" xr3:uid="{31005CBD-642B-48CD-B1DE-836201CEA661}" name="4b"/>
    <tableColumn id="20" xr3:uid="{B4E37196-B60A-4BF3-BA34-2D8A73AAB4B3}" name="4c"/>
    <tableColumn id="21" xr3:uid="{D8D57E43-49E3-4B5D-9E75-6601BAB45868}" name="5a"/>
    <tableColumn id="22" xr3:uid="{31D4AD0A-0A46-4B6A-9CF1-F36FBB03E6F2}" name="5b"/>
    <tableColumn id="23" xr3:uid="{C8C70EF7-43F3-4F3A-89FD-7A1F899E99B2}" name="5c"/>
    <tableColumn id="24" xr3:uid="{FFA8BC90-3120-46F2-A305-F0A38116EEBD}" name="6a"/>
    <tableColumn id="25" xr3:uid="{F0663405-7693-474C-BE4E-60D0EC9A3CE5}" name="6b"/>
    <tableColumn id="26" xr3:uid="{DF80C4D8-AF3B-4D64-83C2-30DA72FD80BB}" name="6c"/>
    <tableColumn id="27" xr3:uid="{771282C3-96BE-4410-96E4-103D7CB2F229}" name="7a"/>
    <tableColumn id="28" xr3:uid="{8DB9D587-70F0-4AA2-81F8-322A1C1D1F62}" name="7b"/>
    <tableColumn id="29" xr3:uid="{1E105D4E-EF0F-4DE8-977C-5BC97ED2BFFD}" name="7c"/>
    <tableColumn id="30" xr3:uid="{AE86D260-0AA0-42EB-B084-EA648827F97E}" name="7d"/>
    <tableColumn id="31" xr3:uid="{1084A0FA-5F69-4580-B8D6-D23751D7D3F8}" name="8a"/>
    <tableColumn id="32" xr3:uid="{1F677447-6C4C-4DD4-BFD5-28479410B7B5}" name="8b"/>
    <tableColumn id="33" xr3:uid="{89BC13F8-AB8B-4690-AAD2-E33F86747F7C}" name="8c"/>
    <tableColumn id="34" xr3:uid="{1E71ECCC-CD47-4E94-913F-1E3764D3C87F}" name="9a"/>
    <tableColumn id="35" xr3:uid="{F69FECE6-4DCF-4332-8063-B17977B3289F}" name="9b"/>
    <tableColumn id="36" xr3:uid="{84C71434-7C34-412B-9ECD-E1F603ECB5FB}" name="9c"/>
    <tableColumn id="37" xr3:uid="{36BFFF1F-A957-4AB7-844C-DA3251A3A47E}" name="9d"/>
    <tableColumn id="38" xr3:uid="{FC436CAA-9E64-46A6-A070-A1AD3BDDA196}" name="9e"/>
    <tableColumn id="39" xr3:uid="{EAC684FE-889D-4F45-88F6-160784DBA8C4}" name="Colonne1"/>
  </tableColumns>
  <tableStyleInfo name="TableStyleMedium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A1924E-9CCD-4C71-8660-985F5AAA5BC5}" name="Tableau3" displayName="Tableau3" ref="A2:AL39" totalsRowShown="0" headerRowDxfId="12">
  <autoFilter ref="A2:AL39" xr:uid="{5EA1924E-9CCD-4C71-8660-985F5AAA5BC5}"/>
  <tableColumns count="38">
    <tableColumn id="1" xr3:uid="{24B63983-27A3-42C4-9ADC-E454CD037988}" name="Séances"/>
    <tableColumn id="2" xr3:uid="{961C60B4-1E4D-49FA-9E18-C2BA2AB06512}" name="ok up2c"/>
    <tableColumn id="3" xr3:uid="{8B720D95-5951-4C0F-A34C-F661FDBB0FB4}" name="Count">
      <calculatedColumnFormula>AM3</calculatedColumnFormula>
    </tableColumn>
    <tableColumn id="4" xr3:uid="{E78A56BF-E033-4D85-B078-8384D348D25F}" name="1a"/>
    <tableColumn id="5" xr3:uid="{A6431D50-0C34-43B0-ADFC-E2AA45EB4F60}" name="1b"/>
    <tableColumn id="6" xr3:uid="{1895E750-1792-4736-9F5D-F7AD51439DA1}" name="1c"/>
    <tableColumn id="7" xr3:uid="{897FF899-5405-4290-AD06-07876F9911F6}" name="1d"/>
    <tableColumn id="8" xr3:uid="{FB3E8736-BE51-4C96-9976-7599598F1B27}" name="1e"/>
    <tableColumn id="9" xr3:uid="{DBB0701C-5796-4B9B-BFA6-E46CAABFF4CE}" name="2a"/>
    <tableColumn id="10" xr3:uid="{296FF6D0-3CBF-4351-854D-2F66E8336DF4}" name="2b"/>
    <tableColumn id="11" xr3:uid="{6B75FF84-1555-4CCC-8931-6A4036D0D918}" name="2c"/>
    <tableColumn id="12" xr3:uid="{6776EBA3-13FE-40B6-A3C0-39E83F62CF3F}" name="2d"/>
    <tableColumn id="13" xr3:uid="{CA29DFA7-DE81-4A86-A823-E7126744BB6B}" name="3a"/>
    <tableColumn id="14" xr3:uid="{F6695A9F-DF5C-4D4F-9376-5747C13784F5}" name="3b"/>
    <tableColumn id="15" xr3:uid="{578E1696-668F-40F3-A483-9274975A4A91}" name="3c"/>
    <tableColumn id="16" xr3:uid="{5259A426-3304-4583-88D5-514ED5A04A76}" name="3d"/>
    <tableColumn id="17" xr3:uid="{3D04FD5B-E29F-4625-BB33-6DEB42A10B89}" name="3e"/>
    <tableColumn id="18" xr3:uid="{C86EB5CA-515E-490D-8A70-33DE485158A6}" name="4a"/>
    <tableColumn id="19" xr3:uid="{4C0D7D2E-2F2F-42BD-A673-8E409CAB8DBC}" name="4b"/>
    <tableColumn id="20" xr3:uid="{D8602010-14C4-4E32-9E4A-C7754F685FD6}" name="4c"/>
    <tableColumn id="21" xr3:uid="{0FCF69C4-4DB4-4E25-B959-D873CCE4EC8E}" name="5a"/>
    <tableColumn id="22" xr3:uid="{2304E505-1DB8-4CAF-8D95-7FDB4D64B5B4}" name="5b"/>
    <tableColumn id="23" xr3:uid="{A0E667E4-A4A6-4059-94E4-B3635C15C4B7}" name="5c"/>
    <tableColumn id="24" xr3:uid="{9082FCB0-3B09-417F-9496-F723C8F32556}" name="6a"/>
    <tableColumn id="25" xr3:uid="{60F49BE1-5FDE-4199-95BB-73EC25242D38}" name="6b"/>
    <tableColumn id="26" xr3:uid="{527E097B-B33F-49A1-9E20-234F49529D0F}" name="6c"/>
    <tableColumn id="27" xr3:uid="{BF3E50C7-69D4-4F0E-BC0E-6DD2D8327000}" name="7a"/>
    <tableColumn id="28" xr3:uid="{56FE4A08-5E37-4D60-84A5-850C5A558458}" name="7b"/>
    <tableColumn id="29" xr3:uid="{EA25CB14-83E2-4D90-9882-D28DC8F89CB8}" name="7c"/>
    <tableColumn id="30" xr3:uid="{6E2E97EA-7FAF-4477-B54A-23F91AF8F4E3}" name="7d"/>
    <tableColumn id="31" xr3:uid="{82DA8BB6-5481-44FE-954B-DE74E3F2C083}" name="8a"/>
    <tableColumn id="32" xr3:uid="{A6C62B3B-3540-4444-9B6D-8641E08A6C91}" name="8b"/>
    <tableColumn id="33" xr3:uid="{DDF0C95B-A253-4713-8166-66561B2D722E}" name="8c"/>
    <tableColumn id="34" xr3:uid="{EBA6D47E-EAC2-489E-A4B1-2724C57B9529}" name="9a"/>
    <tableColumn id="35" xr3:uid="{4700FBB0-2EAA-43DD-9CCA-E9A1C54B5427}" name="9b"/>
    <tableColumn id="36" xr3:uid="{EAA097DB-8C32-4081-AE21-E0B3CB935FDE}" name="9c"/>
    <tableColumn id="37" xr3:uid="{2CF82D92-A2A4-4D13-B637-A08FD0FED4A3}" name="9d"/>
    <tableColumn id="38" xr3:uid="{B8074F99-DD44-44F1-9C7B-7B1188A417D4}" name="9e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47A3364-5D37-4A05-8065-D469BD5E9AB1}" name="Tableau4" displayName="Tableau4" ref="A2:AL35" totalsRowShown="0" headerRowDxfId="11">
  <autoFilter ref="A2:AL35" xr:uid="{147A3364-5D37-4A05-8065-D469BD5E9AB1}"/>
  <sortState xmlns:xlrd2="http://schemas.microsoft.com/office/spreadsheetml/2017/richdata2" ref="A3:AL35">
    <sortCondition sortBy="cellColor" ref="A2" dxfId="10"/>
  </sortState>
  <tableColumns count="38">
    <tableColumn id="1" xr3:uid="{3516DDEE-7B41-4490-8965-2D940728EDEC}" name="Séances" dataDxfId="9"/>
    <tableColumn id="2" xr3:uid="{98D3E6F2-F53F-4ABD-97E6-C09A052BACDB}" name="ok up2c" dataDxfId="8"/>
    <tableColumn id="3" xr3:uid="{34AF2A6A-CD4D-4EEA-AF6E-8B44C512AE8C}" name="Count">
      <calculatedColumnFormula>AM3</calculatedColumnFormula>
    </tableColumn>
    <tableColumn id="4" xr3:uid="{F1C26431-BE03-42DD-8D54-EDF74F2C72B6}" name="1a"/>
    <tableColumn id="5" xr3:uid="{0ABE0E8F-59A8-41BA-B2EC-829861010C3C}" name="1b"/>
    <tableColumn id="6" xr3:uid="{E9D2E2D9-FE66-40EC-A0ED-4C890475DE45}" name="1c"/>
    <tableColumn id="7" xr3:uid="{BDED9EC5-5021-4E38-BDAB-425B3D776063}" name="1d"/>
    <tableColumn id="8" xr3:uid="{1A4E85E7-43F1-4784-B74F-7C55B7045E90}" name="1e"/>
    <tableColumn id="9" xr3:uid="{21FFEC55-7B27-4C1D-92CF-A9CB47E4D523}" name="2a"/>
    <tableColumn id="10" xr3:uid="{D854EB0D-E33C-48BD-8991-9AC1B615A1C1}" name="2b"/>
    <tableColumn id="11" xr3:uid="{99844DC1-5D0E-4618-93D3-70C410B323D8}" name="2c"/>
    <tableColumn id="12" xr3:uid="{B5446805-E352-4437-8194-03404CFADFAD}" name="2d"/>
    <tableColumn id="13" xr3:uid="{53DE3969-080B-4AE6-BB30-3BA6B583A8D3}" name="3a"/>
    <tableColumn id="14" xr3:uid="{D2EC4CBF-8AC4-43DD-8890-54D4898CD1EA}" name="3b"/>
    <tableColumn id="15" xr3:uid="{7D294579-9B34-4702-B97B-C20755CF1D91}" name="3c"/>
    <tableColumn id="16" xr3:uid="{27513A1B-EA5F-4BA4-93EA-5B23AB702439}" name="3d"/>
    <tableColumn id="17" xr3:uid="{F3A5F8C1-6289-4D3F-9AF8-F538473115C4}" name="3e"/>
    <tableColumn id="18" xr3:uid="{E39CA115-7C0B-44AA-9587-C41CEC087852}" name="4a"/>
    <tableColumn id="19" xr3:uid="{CDC33A95-073E-43EF-A555-3CA5F4CB93D3}" name="4b"/>
    <tableColumn id="20" xr3:uid="{B7F0C0F8-D274-46D2-AAFF-66BD9CFACAFD}" name="4c"/>
    <tableColumn id="21" xr3:uid="{AF8091A5-F488-4336-B57F-498532ADB661}" name="5a"/>
    <tableColumn id="22" xr3:uid="{08213C16-1029-401E-95B3-50FA35EBF3E9}" name="5b"/>
    <tableColumn id="23" xr3:uid="{B514D71E-02B4-4507-BC4F-3BC367E1997C}" name="5c"/>
    <tableColumn id="24" xr3:uid="{CCC6C019-06FA-4207-985A-5AF328D3A7A4}" name="6a"/>
    <tableColumn id="25" xr3:uid="{38BA4CA7-B5C2-4BC7-817B-99C2C1B9C424}" name="6b"/>
    <tableColumn id="26" xr3:uid="{000FD894-629A-431E-9518-4707A1407503}" name="6c"/>
    <tableColumn id="27" xr3:uid="{544DA33D-6AB3-40A3-826C-03BAE11BD3BD}" name="7a"/>
    <tableColumn id="28" xr3:uid="{55404986-8B6B-40C2-9482-11D22E2FF245}" name="7b"/>
    <tableColumn id="29" xr3:uid="{727B35E2-2F3E-4E28-829C-305100251338}" name="7c"/>
    <tableColumn id="30" xr3:uid="{42CFDF3F-08CD-43E5-9A55-087B0770A649}" name="7d"/>
    <tableColumn id="31" xr3:uid="{E6C45E88-4DB0-44BC-89F1-1EB1881D8E3F}" name="8a"/>
    <tableColumn id="32" xr3:uid="{2833DB1B-032B-4F49-AEEB-B3E6F4FCFBAA}" name="8b"/>
    <tableColumn id="33" xr3:uid="{E4A0F074-9704-4B38-B0BC-529851F46771}" name="8c"/>
    <tableColumn id="34" xr3:uid="{C363BC9C-F42C-48C6-8075-96F148765543}" name="9a"/>
    <tableColumn id="35" xr3:uid="{9E3CBCB6-D544-4CE0-8905-1FEFF1A177F2}" name="9b"/>
    <tableColumn id="36" xr3:uid="{25D07B11-7D87-45A9-A4E9-1E5F3BDA4230}" name="9c"/>
    <tableColumn id="37" xr3:uid="{F1177FD5-C4CB-4164-9DFD-CCEE6CEE3573}" name="9d"/>
    <tableColumn id="38" xr3:uid="{9754C064-7EDA-42AC-BF1A-A6076AC5BE48}" name="9e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4BE3874-34DB-4E1D-BFCF-256E6B1B97B1}" name="Tableau46" displayName="Tableau46" ref="A1:AL29" totalsRowShown="0" headerRowDxfId="7">
  <autoFilter ref="A1:AL29" xr:uid="{64BE3874-34DB-4E1D-BFCF-256E6B1B97B1}"/>
  <sortState xmlns:xlrd2="http://schemas.microsoft.com/office/spreadsheetml/2017/richdata2" ref="A2:AL29">
    <sortCondition sortBy="cellColor" ref="A8" dxfId="6"/>
  </sortState>
  <tableColumns count="38">
    <tableColumn id="1" xr3:uid="{BA7F1091-416B-42D2-8F69-C1FF80C34938}" name="Séances" dataDxfId="5"/>
    <tableColumn id="2" xr3:uid="{7300424C-AC41-4A04-AB84-785E96EA3675}" name="ok up2c" dataDxfId="4"/>
    <tableColumn id="3" xr3:uid="{79E6C8AF-6C77-48C3-BAB4-D0D96BD221D4}" name="Count">
      <calculatedColumnFormula>AM2</calculatedColumnFormula>
    </tableColumn>
    <tableColumn id="4" xr3:uid="{223061D7-68DC-4418-BBCC-BC0C365F357D}" name="1a"/>
    <tableColumn id="5" xr3:uid="{4BAA1F4B-A399-450B-B3D0-C238428B2AAC}" name="1b"/>
    <tableColumn id="6" xr3:uid="{DAEF9ABD-2634-403F-A2DE-E9B2CAD443AE}" name="1c"/>
    <tableColumn id="7" xr3:uid="{736D05C3-CC60-43DE-896B-46BFD665FDFE}" name="1d"/>
    <tableColumn id="8" xr3:uid="{B3B4D052-EAB8-4A56-8706-709E8A191F97}" name="1e"/>
    <tableColumn id="9" xr3:uid="{2E3B2E5D-4B73-4479-B4A7-0B453EBC6625}" name="2a"/>
    <tableColumn id="10" xr3:uid="{DD06E70B-BEDB-4265-9810-34C34FCA65EB}" name="2b"/>
    <tableColumn id="11" xr3:uid="{67B56A03-CD81-49CE-9EB1-93A34AAED75F}" name="2c"/>
    <tableColumn id="12" xr3:uid="{CA3696A5-2686-4E2D-8A57-B0918BC0798A}" name="2d"/>
    <tableColumn id="13" xr3:uid="{538991A2-2D72-41F0-BEAC-69ED045F86DE}" name="3a"/>
    <tableColumn id="14" xr3:uid="{D1A80E42-514B-4582-B08F-4BFC916E2984}" name="3b"/>
    <tableColumn id="15" xr3:uid="{F41EDECF-DCFE-404D-9324-623E605407F9}" name="3c"/>
    <tableColumn id="16" xr3:uid="{DBB65FE0-840B-45B6-8A72-DC430E073537}" name="3d"/>
    <tableColumn id="17" xr3:uid="{F6D66A85-3C1D-4F30-B022-7E1E097BA5F8}" name="3e"/>
    <tableColumn id="18" xr3:uid="{7DA2A192-EC30-40A8-B1A5-26C0F1911983}" name="4a"/>
    <tableColumn id="19" xr3:uid="{F6B5697B-4620-4B00-9437-EA1ED3FAB001}" name="4b"/>
    <tableColumn id="20" xr3:uid="{BB776B06-B21B-43BD-87D6-3E91C6782503}" name="4c"/>
    <tableColumn id="21" xr3:uid="{98DE3DBB-9D1C-47BF-824D-3020F6ED71F3}" name="5a"/>
    <tableColumn id="22" xr3:uid="{76F47AD5-77A2-4562-820F-E4CF43CF3B77}" name="5b"/>
    <tableColumn id="23" xr3:uid="{14AEACFB-D6F2-4D27-B12B-CE089373ADE5}" name="5c"/>
    <tableColumn id="24" xr3:uid="{6716FA56-76F8-446A-9229-AA1476BE3515}" name="6a"/>
    <tableColumn id="25" xr3:uid="{A90C30ED-101D-446D-9139-CA04AAEA8D27}" name="6b"/>
    <tableColumn id="26" xr3:uid="{07AC5A17-4EEB-422F-BE8E-E2BD3A122E4A}" name="6c"/>
    <tableColumn id="27" xr3:uid="{2106DC31-1547-4D40-AEFF-45B7A3527FFE}" name="7a"/>
    <tableColumn id="28" xr3:uid="{80D6C0FF-A528-4BD0-B11D-3ECCCC22EE05}" name="7b"/>
    <tableColumn id="29" xr3:uid="{AEC1C65C-0E96-4C23-A3A1-B28D651D1243}" name="7c"/>
    <tableColumn id="30" xr3:uid="{DDF0D820-05A7-4449-9EA7-369BA3223B84}" name="7d"/>
    <tableColumn id="31" xr3:uid="{F53BD2F8-5A2D-4D2D-992A-1021FADD61F0}" name="8a"/>
    <tableColumn id="32" xr3:uid="{AEF5572C-E774-4BA0-8B2A-29A79AFD2C2D}" name="8b"/>
    <tableColumn id="33" xr3:uid="{BC67097A-0D2E-4BFD-910F-AC81D33B1697}" name="8c"/>
    <tableColumn id="34" xr3:uid="{3C83D022-9F6D-4B14-A50E-52F0ABEF310C}" name="9a"/>
    <tableColumn id="35" xr3:uid="{D6792253-E3BC-4244-BCA0-4FA84D88E22C}" name="9b"/>
    <tableColumn id="36" xr3:uid="{71E9F4D3-AF3B-4BB6-A028-28FDFE11C4FF}" name="9c"/>
    <tableColumn id="37" xr3:uid="{059FA3E3-0F4C-4FB3-AE59-99A6302C1E4B}" name="9d"/>
    <tableColumn id="38" xr3:uid="{4103C2D8-EC46-46CB-8D11-8DB0D4A7BD49}" name="9e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31C36C-B105-4234-86C7-534AD380724D}" name="Tableau2" displayName="Tableau2" ref="A2:AM27" totalsRowShown="0" headerRowDxfId="3">
  <autoFilter ref="A2:AM27" xr:uid="{D731C36C-B105-4234-86C7-534AD380724D}"/>
  <tableColumns count="39">
    <tableColumn id="1" xr3:uid="{25D3B35E-F775-4717-83B6-E11664869B76}" name="Parcours" dataDxfId="2"/>
    <tableColumn id="2" xr3:uid="{8A2BF521-AC00-4C7F-8CD6-226AAC64FA9F}" name="Séances" dataDxfId="1"/>
    <tableColumn id="3" xr3:uid="{DEA8DD67-94C4-4400-A5DB-6DBB7D23C898}" name="ok up2c" dataDxfId="0"/>
    <tableColumn id="4" xr3:uid="{82B5792E-111E-4C79-B242-7618A5F20D38}" name="Count"/>
    <tableColumn id="5" xr3:uid="{54121D79-0FD5-410C-B931-0A30F967C35D}" name="1a"/>
    <tableColumn id="6" xr3:uid="{BF8F0062-A1A3-4563-8D89-DE8A096DD3CD}" name="1b"/>
    <tableColumn id="7" xr3:uid="{03A5DBF0-B26E-4BD3-899E-513DE2EE3B30}" name="1c"/>
    <tableColumn id="8" xr3:uid="{292029FF-41DE-43C1-845C-D2E5D3DEEAA4}" name="1d"/>
    <tableColumn id="9" xr3:uid="{2FB39786-DCF9-407B-AF68-F6B2FF9FE326}" name="1e"/>
    <tableColumn id="10" xr3:uid="{990FD343-3B1E-4E82-9FD4-BF418B5296F0}" name="2a"/>
    <tableColumn id="11" xr3:uid="{EA14B34F-E2E2-493A-8152-83F78BA1B066}" name="2b"/>
    <tableColumn id="12" xr3:uid="{8DB7BD62-6F2C-4124-AA6F-E816E530EFFA}" name="2c"/>
    <tableColumn id="13" xr3:uid="{98092B8C-F9AB-4B61-8A44-133F949B9068}" name="2d"/>
    <tableColumn id="14" xr3:uid="{E70BE768-F8CB-410F-89D8-219517DC25F1}" name="3a"/>
    <tableColumn id="15" xr3:uid="{91FC1430-DA11-41C0-A4DA-372A3D60DB31}" name="3b"/>
    <tableColumn id="16" xr3:uid="{38279D4B-274E-4A5B-84D2-ACCC467F526F}" name="3c"/>
    <tableColumn id="17" xr3:uid="{8EE28385-DFF6-4B76-BE9F-9A31941D9291}" name="3d"/>
    <tableColumn id="18" xr3:uid="{80F11E76-52A2-4918-9FDF-DB9A7B05781A}" name="3e"/>
    <tableColumn id="19" xr3:uid="{A4918DDD-55D2-422F-ABFC-91D478458B8B}" name="4a"/>
    <tableColumn id="20" xr3:uid="{EF907548-79F9-4D81-BFE1-1D1A40F76BA1}" name="4b"/>
    <tableColumn id="21" xr3:uid="{1AFC5112-4155-4373-8905-2F66E4832BAD}" name="4c"/>
    <tableColumn id="22" xr3:uid="{4563FE6A-3A01-4552-8491-505804546420}" name="5a"/>
    <tableColumn id="23" xr3:uid="{0200FEC5-61F1-48F3-B088-B02BAFC5E261}" name="5b"/>
    <tableColumn id="24" xr3:uid="{7BC28841-4C59-43E7-ACD5-D0A0C7786D70}" name="5c"/>
    <tableColumn id="25" xr3:uid="{8AC43E0D-ED8F-48F6-B6F2-773BF7FB5311}" name="6a"/>
    <tableColumn id="26" xr3:uid="{446878BD-99DE-440D-B997-618FF397F6EA}" name="6b"/>
    <tableColumn id="27" xr3:uid="{9688D8FB-D5B9-4472-A97E-D9ED931CF9C6}" name="6c"/>
    <tableColumn id="28" xr3:uid="{D380EB0C-C84C-494C-8062-AD9344176C97}" name="7a"/>
    <tableColumn id="29" xr3:uid="{A7FEE6D4-6110-4ED0-AB2D-DA7C43327DB0}" name="7b"/>
    <tableColumn id="30" xr3:uid="{1CD8E7EB-0F35-4596-BB15-0253FA19E787}" name="7c"/>
    <tableColumn id="31" xr3:uid="{0D681721-75DB-4D82-ABB5-3DCFF4AF0829}" name="7d"/>
    <tableColumn id="32" xr3:uid="{EF2B9510-0FF5-4BAD-A888-AE9F5826FC6B}" name="8a"/>
    <tableColumn id="33" xr3:uid="{EE94DE7F-C373-41D0-B885-E84B00F8BCF4}" name="8b"/>
    <tableColumn id="34" xr3:uid="{08D23FE0-617B-4B38-B630-7A75E07AF675}" name="8c"/>
    <tableColumn id="35" xr3:uid="{B48D3881-82DC-49BD-985E-ECFDBD62C80F}" name="9a"/>
    <tableColumn id="36" xr3:uid="{B9887BE8-7427-4505-BCDD-32E7C147FA85}" name="9b"/>
    <tableColumn id="37" xr3:uid="{6598A2FB-E2B4-4BA5-8285-F6E5254F8001}" name="9c"/>
    <tableColumn id="38" xr3:uid="{F337106B-A053-4CBF-874D-04D85903439D}" name="9d"/>
    <tableColumn id="39" xr3:uid="{75DAB9AF-9B0B-4CEB-8081-9E5BD8F959F3}" name="9e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3" dT="2025-10-20T14:12:22.01" personId="{A02A6012-EC96-4E8F-B05A-EF38BB50C291}" id="{1B6D79D3-1EFC-4DBD-97E4-B7D843ED5FFE}">
    <text xml:space="preserve">Je modifierai 3 séances : 
Brise glace : 5a
Stage ready : 7a
Portrait en image : 6c (à la place du 5c) 
Vous en pensez quoi?
</text>
  </threadedComment>
  <threadedComment ref="A13" dT="2025-10-20T14:36:15.59" personId="{A02A6012-EC96-4E8F-B05A-EF38BB50C291}" id="{77471696-5378-4638-A629-4AA7760790DB}" parentId="{1B6D79D3-1EFC-4DBD-97E4-B7D843ED5FFE}">
    <text>un stage pourquoi comment, 4a</text>
  </threadedComment>
  <threadedComment ref="A13" dT="2025-10-20T14:37:05.72" personId="{A02A6012-EC96-4E8F-B05A-EF38BB50C291}" id="{5D0A229A-30BE-4E1F-AD7E-79E2F687A956}" parentId="{1B6D79D3-1EFC-4DBD-97E4-B7D843ED5FFE}">
    <text>à la place du 6a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8" dT="2025-10-20T14:12:22.01" personId="{A02A6012-EC96-4E8F-B05A-EF38BB50C291}" id="{62A41FAD-34B5-4FB5-B4B3-73D5F86DC984}">
    <text xml:space="preserve">Je modifierai 3 séances : 
Brise glace : 5a
Stage ready : 7a
Portrait en image : 6c (à la place du 5c) 
Vous en pensez quoi?
</text>
  </threadedComment>
  <threadedComment ref="A18" dT="2025-10-20T14:36:15.59" personId="{A02A6012-EC96-4E8F-B05A-EF38BB50C291}" id="{A94717DC-6E30-46CD-AC69-D063983A15C5}" parentId="{62A41FAD-34B5-4FB5-B4B3-73D5F86DC984}">
    <text>un stage pourquoi comment, 4a</text>
  </threadedComment>
  <threadedComment ref="A18" dT="2025-10-20T14:37:05.72" personId="{A02A6012-EC96-4E8F-B05A-EF38BB50C291}" id="{5EF55D1E-BB84-4793-8345-D58C36A068C1}" parentId="{62A41FAD-34B5-4FB5-B4B3-73D5F86DC984}">
    <text>à la place du 6a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e2cgrandlille.sharepoint.com/:f:/s/E2CRessourcesPdagogiques/EsmaDrjqMRFBtkfWmViO8ooB79sgAHbhLX0FIBD-aCXIYA?e=sc1hGe" TargetMode="External"/><Relationship Id="rId21" Type="http://schemas.openxmlformats.org/officeDocument/2006/relationships/hyperlink" Target="https://e2cgrandlille.sharepoint.com/:f:/s/E2CRessourcesPdagogiques/EgkMpdHXXrBDnHS4BdJf_XcBgrgXStOLH5Vr52LD_8hcGQ?e=vjTtQ9" TargetMode="External"/><Relationship Id="rId42" Type="http://schemas.openxmlformats.org/officeDocument/2006/relationships/hyperlink" Target="https://e2cgrandlille.sharepoint.com/:f:/s/E2CRessourcesPdagogiques/IgDAqva7AOSRSZfc6NHEQUtjAWbLix8lkgzZWolCdw_k5FE?e=jQZIoM" TargetMode="External"/><Relationship Id="rId47" Type="http://schemas.openxmlformats.org/officeDocument/2006/relationships/hyperlink" Target="https://e2cgrandlille.sharepoint.com/:b:/s/E2CRessourcesPdagogiques/IQDXHSIiKBZ6SoyLiRe1uIDpAQdSdlmJnChBFOsQJyFz4m0?e=2bNwwb" TargetMode="External"/><Relationship Id="rId63" Type="http://schemas.openxmlformats.org/officeDocument/2006/relationships/hyperlink" Target="https://e2cgrandlille.sharepoint.com/:b:/s/E2CRessourcesPdagogiques/IQD0owOFI5aBRLmC6Mnd6BNQAcf677FC7rfn2Egpl0gX7Yc?e=gv83tv" TargetMode="External"/><Relationship Id="rId68" Type="http://schemas.openxmlformats.org/officeDocument/2006/relationships/hyperlink" Target="https://e2cgrandlille.sharepoint.com/:f:/s/E2CRessourcesPdagogiques/EvmQvslfaO5BkbDoKYrPO0wBHPiZAGijNL5_Ewltjxu1-g?e=uTHWco" TargetMode="External"/><Relationship Id="rId84" Type="http://schemas.openxmlformats.org/officeDocument/2006/relationships/hyperlink" Target="https://e2cgrandlille.sharepoint.com/:w:/s/E2CRessourcesPdagogiques/IQDVGn8rjLC4SI7NOrzUurS9AUzCJg8drUvc8YBXDcrcCng?e=XmphuW" TargetMode="External"/><Relationship Id="rId89" Type="http://schemas.openxmlformats.org/officeDocument/2006/relationships/hyperlink" Target="https://e2cgrandlille.sharepoint.com/:w:/s/E2CRessourcesPdagogiques/IQDxN9-Yvt3dSY9m8E4LH1IGARHVoNSPSeImEGMysqmbYzk?e=cNCeT7" TargetMode="External"/><Relationship Id="rId16" Type="http://schemas.openxmlformats.org/officeDocument/2006/relationships/hyperlink" Target="https://e2cgrandlille.sharepoint.com/:f:/s/E2CRessourcesPdagogiques/Er0dxrmvHdNIseAL9cy-pWIBY25_-dh5QBKoxppEolgW9A?e=LUujmU" TargetMode="External"/><Relationship Id="rId11" Type="http://schemas.openxmlformats.org/officeDocument/2006/relationships/hyperlink" Target="https://e2cgrandlille.sharepoint.com/:w:/s/E2CRessourcesPdagogiques/Eb9ULIjGiIBOkxEcqWDhD-YBidI_nNVu9Wgj7j9C41ZcCA?e=shM9CZ" TargetMode="External"/><Relationship Id="rId32" Type="http://schemas.openxmlformats.org/officeDocument/2006/relationships/hyperlink" Target="https://e2cgrandlille.sharepoint.com/:x:/s/e2cdocumentscommuns/IQCNFFeBv85WSJyFjWGoonDuAcUX0QmOJfjuvmkvg-LYarQ?e=ERWegR" TargetMode="External"/><Relationship Id="rId37" Type="http://schemas.openxmlformats.org/officeDocument/2006/relationships/hyperlink" Target="https://e2cgrandlille.sharepoint.com/:f:/s/E2CRessourcesPdagogiques/IgD8XlB0hwIPQ5l4I6Oxfr3rAZphLVI4BTJIn4iBSM_iHys?e=gPAWoc" TargetMode="External"/><Relationship Id="rId53" Type="http://schemas.openxmlformats.org/officeDocument/2006/relationships/hyperlink" Target="https://e2cgrandlille.sharepoint.com/:b:/s/E2CRessourcesPdagogiques/IQDfEovTxgJmQbdv9u-v8c4PAZuILdGVR-AakRytXU1CC7M?e=T7tEiF" TargetMode="External"/><Relationship Id="rId58" Type="http://schemas.openxmlformats.org/officeDocument/2006/relationships/hyperlink" Target="https://e2cgrandlille.sharepoint.com/:b:/s/E2CRessourcesPdagogiques/IQCTk492FzDyQJ1NN1lQVtjxAYZU5_cZo3coRlv0nEFiv_k?e=zlUfEp" TargetMode="External"/><Relationship Id="rId74" Type="http://schemas.openxmlformats.org/officeDocument/2006/relationships/hyperlink" Target="https://e2cgrandlille.sharepoint.com/:b:/s/E2CRessourcesPdagogiques/IQBFzgPeYo5BSb9efBPAfid9Aa_YHKfma2yPJVgnaAXjF0g?e=uuXP3j" TargetMode="External"/><Relationship Id="rId79" Type="http://schemas.openxmlformats.org/officeDocument/2006/relationships/hyperlink" Target="https://e2cgrandlille.sharepoint.com/:w:/s/E2CRessourcesPdagogiques/IQA6eVpXP9MWQqoBdJ9MopoSAXbJ1hjBol8HP55I_HX8_G0?e=d31h4E" TargetMode="External"/><Relationship Id="rId102" Type="http://schemas.openxmlformats.org/officeDocument/2006/relationships/hyperlink" Target="https://e2cgrandlille.sharepoint.com/:f:/s/E2CRessourcesPdagogiques/IgAX-0us_kwfS6n76GEOF77hAcfEaXB3l19PiEAWHxppXQ4?e=qJAviQ" TargetMode="External"/><Relationship Id="rId5" Type="http://schemas.openxmlformats.org/officeDocument/2006/relationships/hyperlink" Target="https://e2cgrandlille.sharepoint.com/:w:/s/E2CProcedures/ERm6YB7OyNVMrlRDpD1pchwB30KJDFMwP0zUFJ-3jpP6rg?e=9xa0zE" TargetMode="External"/><Relationship Id="rId90" Type="http://schemas.openxmlformats.org/officeDocument/2006/relationships/hyperlink" Target="https://e2cgrandlille.sharepoint.com/:w:/s/E2CRessourcesPdagogiques/IQDxN9-Yvt3dSY9m8E4LH1IGARHVoNSPSeImEGMysqmbYzk?e=cNCeT7" TargetMode="External"/><Relationship Id="rId95" Type="http://schemas.openxmlformats.org/officeDocument/2006/relationships/hyperlink" Target="https://e2cgrandlille.sharepoint.com/:w:/s/E2CRessourcesPdagogiques/IQCd8nbwJCe4RZJVKI3-jM2pAScylYVR1XQ9Ak8a0GJqnNw?e=6Yd5k0" TargetMode="External"/><Relationship Id="rId22" Type="http://schemas.openxmlformats.org/officeDocument/2006/relationships/hyperlink" Target="https://e2cgrandlille.sharepoint.com/:f:/s/E2CRessourcesPdagogiques/Ety4obQOghJLjLUOgAd8cmwB57LWxl1EdaDrhhRplCeAWA?e=tEFGZp" TargetMode="External"/><Relationship Id="rId27" Type="http://schemas.openxmlformats.org/officeDocument/2006/relationships/hyperlink" Target="https://e2cgrandlille.sharepoint.com/:w:/s/E2CRessourcesPdagogiques/EaxupB1R23tCpNcBuwo_DKgBEi8QoZaBEy1xDalIn5XajA?e=2kWIO4" TargetMode="External"/><Relationship Id="rId43" Type="http://schemas.openxmlformats.org/officeDocument/2006/relationships/hyperlink" Target="https://e2cgrandlille.sharepoint.com/:f:/s/E2CRessourcesPdagogiques/IgBGBguvT_ZvS62Z2IPlTaqfASZzNNUZliOqMbpXfOgYUzM?e=P0UJkG" TargetMode="External"/><Relationship Id="rId48" Type="http://schemas.openxmlformats.org/officeDocument/2006/relationships/hyperlink" Target="https://e2cgrandlille.sharepoint.com/:b:/s/E2CRessourcesPdagogiques/IQDIgUdzc_xLQLwb9vnBde4-ATSNIlEK8fWGXKa0RXWffcQ?e=fROXUD" TargetMode="External"/><Relationship Id="rId64" Type="http://schemas.openxmlformats.org/officeDocument/2006/relationships/hyperlink" Target="https://e2cgrandlille.sharepoint.com/:b:/s/E2CRessourcesPdagogiques/IQDqngrgEiJCT5vhrUzz7LS9AWQSNMp-k1qmIj3PtClfsWQ?e=W5t5q4" TargetMode="External"/><Relationship Id="rId69" Type="http://schemas.openxmlformats.org/officeDocument/2006/relationships/hyperlink" Target="https://e2cgrandlille.sharepoint.com/:f:/s/E2CRessourcesPdagogiques/EsXsIyAmzrlAv1TWcU_cNg8B0xz_NeKgOZ43iIY35iRUew?e=YcmlnV" TargetMode="External"/><Relationship Id="rId80" Type="http://schemas.openxmlformats.org/officeDocument/2006/relationships/hyperlink" Target="https://e2cgrandlille.sharepoint.com/:w:/s/E2CRessourcesPdagogiques/IQBrwWeawdyBS61X4HaIDDr2Adlrc4Ns5JmBtm4RwaI8B3Q?e=oPopbe" TargetMode="External"/><Relationship Id="rId85" Type="http://schemas.openxmlformats.org/officeDocument/2006/relationships/hyperlink" Target="https://e2cgrandlille.sharepoint.com/:w:/s/E2CRessourcesPdagogiques/IQDxN9-Yvt3dSY9m8E4LH1IGARHVoNSPSeImEGMysqmbYzk?e=cNCeT7" TargetMode="External"/><Relationship Id="rId12" Type="http://schemas.openxmlformats.org/officeDocument/2006/relationships/hyperlink" Target="https://e2cgrandlille.sharepoint.com/:f:/s/E2CRessourcesPdagogiques/EmYKXt5gbC9JkBpfywisl2cB97rxrS632Cj7ZDkm91aNCQ?e=Qyre4D" TargetMode="External"/><Relationship Id="rId17" Type="http://schemas.openxmlformats.org/officeDocument/2006/relationships/hyperlink" Target="https://e2cgrandlille.sharepoint.com/:f:/s/E2CRessourcesPdagogiques/Ev0EIR7l27VCsA_JHIZTHXAB-FP2XTzpVyiSrH8PKgTDyw?e=lgUeJW" TargetMode="External"/><Relationship Id="rId25" Type="http://schemas.openxmlformats.org/officeDocument/2006/relationships/hyperlink" Target="https://e2cgrandlille.sharepoint.com/:x:/s/E2CRessourcesPdagogiques/ERs5J0PmvodNu-8NRQxDNLwB7iLeKww3ZpmvrG0G7L_B1A?e=hKHx6w" TargetMode="External"/><Relationship Id="rId33" Type="http://schemas.openxmlformats.org/officeDocument/2006/relationships/hyperlink" Target="https://e2cgrandlille.sharepoint.com/:f:/s/E2CRessourcesPdagogiques/IgD8XlB0hwIPQ5l4I6Oxfr3rAZphLVI4BTJIn4iBSM_iHys?e=gPAWoc" TargetMode="External"/><Relationship Id="rId38" Type="http://schemas.openxmlformats.org/officeDocument/2006/relationships/hyperlink" Target="https://e2cgrandlille.sharepoint.com/:f:/s/E2CRessourcesPdagogiques/EvxeUHSHAg9DmXgjo7F-vesBmmEtUjgFMkifiIFIz-IfKw?e=dfl8nz" TargetMode="External"/><Relationship Id="rId46" Type="http://schemas.openxmlformats.org/officeDocument/2006/relationships/hyperlink" Target="https://e2cgrandlille.sharepoint.com/:b:/s/E2CRessourcesPdagogiques/IQD2CBAWeFIbSL1GBvL8GHvMASM1GAK0z2aslcdc76N1GDM?e=r2DwTj" TargetMode="External"/><Relationship Id="rId59" Type="http://schemas.openxmlformats.org/officeDocument/2006/relationships/hyperlink" Target="https://e2cgrandlille.sharepoint.com/:b:/s/E2CRessourcesPdagogiques/IQCIvBeTyWc2R58NPzacu1LyAbILaADwwkhS0so3cJHIfhg?e=eEbEJG" TargetMode="External"/><Relationship Id="rId67" Type="http://schemas.openxmlformats.org/officeDocument/2006/relationships/hyperlink" Target="https://e2cgrandlille.sharepoint.com/:f:/s/E2CRessourcesPdagogiques/EsqKui_Zu_NNiE0iZQU6TQoBbOmham3zMLOjQ1RMPHFJFg?e=GktKjr" TargetMode="External"/><Relationship Id="rId103" Type="http://schemas.openxmlformats.org/officeDocument/2006/relationships/hyperlink" Target="https://e2cgrandlille.sharepoint.com/:x:/s/E2CRessourcesPdagogiques/IQBIvV1cjXLYS7ScDjeLh3zVATgDfiTaSAwBLNEjy1xemQI?e=ZO8DPZ" TargetMode="External"/><Relationship Id="rId20" Type="http://schemas.openxmlformats.org/officeDocument/2006/relationships/hyperlink" Target="https://e2cgrandlille.sharepoint.com/:f:/s/E2CRessourcesPdagogiques/EuceRCj9CNpHsDJdYw9WayQBnT63-gqy58CGAJy3Cl9FmQ?e=Mcn915" TargetMode="External"/><Relationship Id="rId41" Type="http://schemas.openxmlformats.org/officeDocument/2006/relationships/hyperlink" Target="https://e2cgrandlille.sharepoint.com/:f:/s/E2CRessourcesPdagogiques/IgDAqva7AOSRSZfc6NHEQUtjAWbLix8lkgzZWolCdw_k5FE?e=jQZIoM" TargetMode="External"/><Relationship Id="rId54" Type="http://schemas.openxmlformats.org/officeDocument/2006/relationships/hyperlink" Target="https://e2cgrandlille.sharepoint.com/:b:/s/E2CRessourcesPdagogiques/IQAlU48Jcm45QpFqQ2j4VWcZAbsKMnKgFTd6I0G90OlsT1Y?e=1esWEY" TargetMode="External"/><Relationship Id="rId62" Type="http://schemas.openxmlformats.org/officeDocument/2006/relationships/hyperlink" Target="https://e2cgrandlille.sharepoint.com/:w:/s/e2cdocumentscommuns/IQCC5NjoX8EeQLYwOAB_4iTiAX9cZ0gUIXSiz1Oeq3aAsRI?e=kPpFFY" TargetMode="External"/><Relationship Id="rId70" Type="http://schemas.openxmlformats.org/officeDocument/2006/relationships/hyperlink" Target="https://e2cgrandlille.sharepoint.com/:b:/s/E2CRessourcesPdagogiques/IQChfITYH2C1Qa36CfuuflOjAQJxQGQnMwUUmUVNmXmFXlE?e=GN5NyK" TargetMode="External"/><Relationship Id="rId75" Type="http://schemas.openxmlformats.org/officeDocument/2006/relationships/hyperlink" Target="https://e2cgrandlille.sharepoint.com/:b:/s/E2CRessourcesPdagogiques/IQC1qEUzH43-T4ddKctFI_PWAQPEc7iBkpGxtOFPNwvl8FI?e=n5PPw2" TargetMode="External"/><Relationship Id="rId83" Type="http://schemas.openxmlformats.org/officeDocument/2006/relationships/hyperlink" Target="https://e2cgrandlille.sharepoint.com/:w:/r/sites/E2CRessourcesPdagogiques/_layouts/15/Doc.aspx?sourcedoc=%7BF4C6DE7E-B035-49A2-94CC-B93D9731DFC0%7D&amp;file=DF%20-%20Mini%20EP3A.docx&amp;action=default&amp;mobileredirect=true" TargetMode="External"/><Relationship Id="rId88" Type="http://schemas.openxmlformats.org/officeDocument/2006/relationships/hyperlink" Target="https://e2cgrandlille.sharepoint.com/:w:/s/E2CRessourcesPdagogiques/IQDxN9-Yvt3dSY9m8E4LH1IGARHVoNSPSeImEGMysqmbYzk?e=cNCeT7" TargetMode="External"/><Relationship Id="rId91" Type="http://schemas.openxmlformats.org/officeDocument/2006/relationships/hyperlink" Target="https://e2cgrandlille.sharepoint.com/:w:/s/E2CRessourcesPdagogiques/IQDxN9-Yvt3dSY9m8E4LH1IGARHVoNSPSeImEGMysqmbYzk?e=cNCeT7" TargetMode="External"/><Relationship Id="rId96" Type="http://schemas.openxmlformats.org/officeDocument/2006/relationships/hyperlink" Target="https://e2cgrandlille.sharepoint.com/:f:/s/E2CRessourcesPdagogiques/IgC5TbjxYDpHRZH_cpzbJYXcAeWJwJXNOCL4V-0aFQCS9AY?e=UaZjI9" TargetMode="External"/><Relationship Id="rId1" Type="http://schemas.openxmlformats.org/officeDocument/2006/relationships/hyperlink" Target="https://e2cgrandlille.sharepoint.com/:w:/r/sites/E2CRessourcesPdagogiques/_layouts/15/Doc.aspx?sourcedoc=%7B3676F58C-C3B4-4CE7-A366-491C6471F0FD%7D&amp;file=LES%20SYRTES.docx&amp;action=default&amp;mobileredirect=true&amp;DefaultItemOpen=1" TargetMode="External"/><Relationship Id="rId6" Type="http://schemas.openxmlformats.org/officeDocument/2006/relationships/hyperlink" Target="https://e2cgrandlille.sharepoint.com/:f:/s/E2CRessourcesPdagogiques/EjSUdgBXSjRMmSEFYkh5JxQBASGg9gV3C62GxAt2f0L5UA?e=Axr3H0" TargetMode="External"/><Relationship Id="rId15" Type="http://schemas.openxmlformats.org/officeDocument/2006/relationships/hyperlink" Target="https://e2cgrandlille.sharepoint.com/:f:/s/E2CRessourcesPdagogiques/ElwGpD59YAhDl0jopbOs5mUBJHeIMsDvEWJAvC_bivoWZw?e=lw561k" TargetMode="External"/><Relationship Id="rId23" Type="http://schemas.openxmlformats.org/officeDocument/2006/relationships/hyperlink" Target="https://e2cgrandlille.sharepoint.com/:f:/s/E2CRessourcesPdagogiques/EliR7upQ2eFNrK3qkbXPQ3UBM3AjRWXEKhzzBRsuQZnwgQ?e=2XXcJv" TargetMode="External"/><Relationship Id="rId28" Type="http://schemas.openxmlformats.org/officeDocument/2006/relationships/hyperlink" Target="https://e2cgrandlille.sharepoint.com/:w:/s/E2CRessourcesPdagogiques/IQA4Ul-X7RQtRLQVai5-zQTWAV1vEAaSK_IgMKlJS8SkqDo?e=JVwRxT" TargetMode="External"/><Relationship Id="rId36" Type="http://schemas.openxmlformats.org/officeDocument/2006/relationships/hyperlink" Target="https://e2cgrandlille.sharepoint.com/:f:/s/E2CRessourcesPdagogiques/IgBZBy8-c2_tSaxRtLuY6tgqAYrNBTyDNSn1unUmGnVnDMk?e=WrwU5M" TargetMode="External"/><Relationship Id="rId49" Type="http://schemas.openxmlformats.org/officeDocument/2006/relationships/hyperlink" Target="https://e2cgrandlille.sharepoint.com/:b:/s/E2CRessourcesPdagogiques/IQDwMd8nzsP8QJ96fhoJyJKQAZl5YqiasbNOGAq6fF-nQdw?e=camb5R" TargetMode="External"/><Relationship Id="rId57" Type="http://schemas.openxmlformats.org/officeDocument/2006/relationships/hyperlink" Target="https://e2cgrandlille.sharepoint.com/:b:/s/E2CRessourcesPdagogiques/IQAJN1cGp6MhQ7Cm_l1jdgrSAcKpiZ1cE4yxgIo9WiVpfH0?e=sEImWS" TargetMode="External"/><Relationship Id="rId10" Type="http://schemas.openxmlformats.org/officeDocument/2006/relationships/hyperlink" Target="https://e2cgrandlille.sharepoint.com/:w:/s/E2CRessourcesPdagogiques/ESI3E-2gMBtHnOo976rRqpsBuCAW4Avfm8oh38ON6JWxUw?e=nsh0Og" TargetMode="External"/><Relationship Id="rId31" Type="http://schemas.openxmlformats.org/officeDocument/2006/relationships/hyperlink" Target="https://e2cgrandlille.sharepoint.com/:x:/s/e2cdocumentscommuns/IQCNFFeBv85WSJyFjWGoonDuAcUX0QmOJfjuvmkvg-LYarQ?e=ERWegR" TargetMode="External"/><Relationship Id="rId44" Type="http://schemas.openxmlformats.org/officeDocument/2006/relationships/hyperlink" Target="https://e2cgrandlille.sharepoint.com/:f:/s/E2CRessourcesPdagogiques/IgDo9TH3YRraSbuFFirwEqysAR-ecV7YYj-VfPsKJidsasI?e=N3jPk7" TargetMode="External"/><Relationship Id="rId52" Type="http://schemas.openxmlformats.org/officeDocument/2006/relationships/hyperlink" Target="https://e2cgrandlille.sharepoint.com/:b:/s/E2CRessourcesPdagogiques/IQDtS40E3B34R434AJbC6fJrAdowhyGzlHPk41pTzEuQ4Ik?e=pYus4q" TargetMode="External"/><Relationship Id="rId60" Type="http://schemas.openxmlformats.org/officeDocument/2006/relationships/hyperlink" Target="https://e2cgrandlille.sharepoint.com/:b:/s/E2CRessourcesPdagogiques/IQA4yMFXtrJMTK6YwDNFNTNPAT6oASX7dWpyIV8_FQk_YRo?e=hNLWhM" TargetMode="External"/><Relationship Id="rId65" Type="http://schemas.openxmlformats.org/officeDocument/2006/relationships/hyperlink" Target="https://e2cgrandlille.sharepoint.com/:b:/s/E2CRessourcesPdagogiques/IQC6HJeW_nBjSqjq-HL8cC_dAfst2P0iVdBLAjoMyC2vYCw?e=LgVuMN" TargetMode="External"/><Relationship Id="rId73" Type="http://schemas.openxmlformats.org/officeDocument/2006/relationships/hyperlink" Target="https://e2cgrandlille.sharepoint.com/:b:/s/E2CRessourcesPdagogiques/IQAGkGVowfcuS5miSSggDHCnAQq5N78RHzozUK6neaNWKoA?e=CUBASh" TargetMode="External"/><Relationship Id="rId78" Type="http://schemas.openxmlformats.org/officeDocument/2006/relationships/hyperlink" Target="https://e2cgrandlille.sharepoint.com/:b:/s/E2CRessourcesPdagogiques/IQADAPz2AHp2T6pINeOlq0KRAUzUgdB4bUyCFvNGSrOTbLg?e=rDV1T2" TargetMode="External"/><Relationship Id="rId81" Type="http://schemas.openxmlformats.org/officeDocument/2006/relationships/hyperlink" Target="https://e2cgrandlille.sharepoint.com/:f:/s/E2CRessourcesPdagogiques/IgDNDFj6KGaXS7j2VtWUPEdDAWhtXUTpUOL31fCtWXqZBtc?e=ujq7LY" TargetMode="External"/><Relationship Id="rId86" Type="http://schemas.openxmlformats.org/officeDocument/2006/relationships/hyperlink" Target="https://e2cgrandlille.sharepoint.com/:w:/s/E2CRessourcesPdagogiques/IQDxN9-Yvt3dSY9m8E4LH1IGARHVoNSPSeImEGMysqmbYzk?e=cNCeT7" TargetMode="External"/><Relationship Id="rId94" Type="http://schemas.openxmlformats.org/officeDocument/2006/relationships/hyperlink" Target="https://e2cgrandlille.sharepoint.com/:f:/s/E2CRessourcesPdagogiques/IgBior-kq5NVRqIjppU9uu6IAbwMSp3aEUbcMCvc9zdBiSs?e=PxPVSN" TargetMode="External"/><Relationship Id="rId99" Type="http://schemas.openxmlformats.org/officeDocument/2006/relationships/hyperlink" Target="https://e2cgrandlille.sharepoint.com/:w:/s/E2CRessourcesPdagogiques/IQCoTRfXn1e7Q7JdYdgeaeCVAeLdOSCXNMvPGHjfaBBalpI?e=4YkQyZ" TargetMode="External"/><Relationship Id="rId101" Type="http://schemas.openxmlformats.org/officeDocument/2006/relationships/hyperlink" Target="https://e2cgrandlille.sharepoint.com/:w:/s/E2CRessourcesPdagogiques/IQA_z9Ve8G8MQLwyaGkvYH4cAepcqaA5uFJE8v4hSFZ5a_c?e=qVy1Rg" TargetMode="External"/><Relationship Id="rId4" Type="http://schemas.openxmlformats.org/officeDocument/2006/relationships/hyperlink" Target="https://e2cgrandlille.sharepoint.com/:p:/s/E2CProcedures/EVMmILqfwdBOstRYpqqyGSIBE3_XDpv7fIr20ZavkPqDZg?e=G4RUxb" TargetMode="External"/><Relationship Id="rId9" Type="http://schemas.openxmlformats.org/officeDocument/2006/relationships/hyperlink" Target="https://e2cgrandlille.sharepoint.com/:w:/s/E2CRessourcesPdagogiques/EWQTlXhEV4xDjq3SxVB8qzABr3d90n1EdDtmaY5LDPi1ZQ?e=XVHvVj" TargetMode="External"/><Relationship Id="rId13" Type="http://schemas.openxmlformats.org/officeDocument/2006/relationships/hyperlink" Target="https://e2cgrandlille.sharepoint.com/:w:/s/E2CRessourcesPdagogiques/ETrJtH4XertJkz-mpBzVAF0Bw3XyukkJqvuOFb4e72UL5A?e=xfI5gs" TargetMode="External"/><Relationship Id="rId18" Type="http://schemas.openxmlformats.org/officeDocument/2006/relationships/hyperlink" Target="https://e2cgrandlille.sharepoint.com/:f:/s/E2CRessourcesPdagogiques/EqXSa7Aq72JGsxGjWpnBHpMBZ7hDcC7y4H9cuQSwycrXgw?e=MozBf4" TargetMode="External"/><Relationship Id="rId39" Type="http://schemas.openxmlformats.org/officeDocument/2006/relationships/hyperlink" Target="https://e2cgrandlille.sharepoint.com/:f:/s/E2CRessourcesPdagogiques/IgBZBy8-c2_tSaxRtLuY6tgqAYrNBTyDNSn1unUmGnVnDMk?e=WrwU5M" TargetMode="External"/><Relationship Id="rId34" Type="http://schemas.openxmlformats.org/officeDocument/2006/relationships/hyperlink" Target="https://e2cgrandlille.sharepoint.com/:f:/s/E2CRessourcesPdagogiques/IgArDMQRLhPpRK6hY53BNND6Afd0EGJeGZgDZk4xpSU0Fwo?e=fkzVYa" TargetMode="External"/><Relationship Id="rId50" Type="http://schemas.openxmlformats.org/officeDocument/2006/relationships/hyperlink" Target="https://e2cgrandlille.sharepoint.com/:b:/s/E2CRessourcesPdagogiques/IQAr0VvrnySdT4M9C38MKVxJAXBaZdB4eUr1OCHc1THGHl4?e=Jy7VyV" TargetMode="External"/><Relationship Id="rId55" Type="http://schemas.openxmlformats.org/officeDocument/2006/relationships/hyperlink" Target="https://e2cgrandlille.sharepoint.com/:b:/s/E2CRessourcesPdagogiques/IQBCnkcTCLKiTYUnVQL4BYOgAR44gAU69MJkGjvKcsjrniA?e=52Q0sx" TargetMode="External"/><Relationship Id="rId76" Type="http://schemas.openxmlformats.org/officeDocument/2006/relationships/hyperlink" Target="https://e2cgrandlille.sharepoint.com/:b:/s/E2CRessourcesPdagogiques/IQA8c1FW7_m_SpwtGMmTF2e9AeCQwXV55N9jsol7DMCOBYc?e=I2kVF3" TargetMode="External"/><Relationship Id="rId97" Type="http://schemas.openxmlformats.org/officeDocument/2006/relationships/hyperlink" Target="https://e2cgrandlille.sharepoint.com/:f:/s/E2CRessourcesPdagogiques/IgC6ogx8Qq97T4OjpgjuUcTKAUVHoKcviSF95kWMCLaX4bo?e=ksbrt1" TargetMode="External"/><Relationship Id="rId104" Type="http://schemas.openxmlformats.org/officeDocument/2006/relationships/hyperlink" Target="https://e2cgrandlille.sharepoint.com/:x:/s/E2CRessourcesPdagogiques/IQDZ7OHq_DE0QaCMsR1vmZ3qAcgZcNh69rNplI87iRXP44c?e=XIcIA5" TargetMode="External"/><Relationship Id="rId7" Type="http://schemas.openxmlformats.org/officeDocument/2006/relationships/hyperlink" Target="https://e2cgrandlille.sharepoint.com/:f:/s/E2CRessourcesPdagogiques/EiCB0SoF_nFMqbv0dlhsPPABmiojh04VdRuHPoPswkrFNA?e=JSO0UY" TargetMode="External"/><Relationship Id="rId71" Type="http://schemas.openxmlformats.org/officeDocument/2006/relationships/hyperlink" Target="https://e2cgrandlille.sharepoint.com/:b:/s/E2CRessourcesPdagogiques/IQBUhTO4uOvlRLsB7TzKGH4_AQjZ7kaNwjYvFVt_y0n5FNs?e=fENwP9" TargetMode="External"/><Relationship Id="rId92" Type="http://schemas.openxmlformats.org/officeDocument/2006/relationships/hyperlink" Target="https://e2cgrandlille.sharepoint.com/:f:/s/E2CRessourcesPdagogiques/IgCHRIKonOgvS5b0RIadkSt1ARbdn2WbCs5xBWiQ08FxLMQ?e=dZS3OC" TargetMode="External"/><Relationship Id="rId2" Type="http://schemas.openxmlformats.org/officeDocument/2006/relationships/hyperlink" Target="https://e2cgrandlille.sharepoint.com/:f:/s/E2CRessourcesPdagogiques/EsddEbO3QLpBrs3zG3vOEicBsRRPzpV9LIIi32gi5WIbvg?e=BxE24Y" TargetMode="External"/><Relationship Id="rId29" Type="http://schemas.openxmlformats.org/officeDocument/2006/relationships/hyperlink" Target="https://e2cgrandlille.sharepoint.com/:f:/s/E2CRessourcesPdagogiques/IgBRpbga_iAiRo_K_1Mhr00DAY3Oltd9h3fdzDm9X24u7OI?e=lv03Yb" TargetMode="External"/><Relationship Id="rId24" Type="http://schemas.openxmlformats.org/officeDocument/2006/relationships/hyperlink" Target="https://e2cgrandlille.sharepoint.com/:f:/s/E2CRessourcesPdagogiques/Et3AvCxAf45OqAl4cMn14IABco0562TgsaLW90s78kVD7w?e=Qhcdcs" TargetMode="External"/><Relationship Id="rId40" Type="http://schemas.openxmlformats.org/officeDocument/2006/relationships/hyperlink" Target="https://e2cgrandlille.sharepoint.com/:f:/s/E2CRessourcesPdagogiques/IgAL8UmQjc7NQZ1vgI9WxCHCAWAmCq5LT4gB_ZwnnN-Vuuw?e=57FNvh" TargetMode="External"/><Relationship Id="rId45" Type="http://schemas.openxmlformats.org/officeDocument/2006/relationships/hyperlink" Target="https://e2cgrandlille.sharepoint.com/:w:/s/E2CRessourcesPdagogiques/IQCNNsNijMT9SouSEVt0YCtkAalBw_TeB8G-k15_L150Dts?e=Dj26iG" TargetMode="External"/><Relationship Id="rId66" Type="http://schemas.openxmlformats.org/officeDocument/2006/relationships/hyperlink" Target="https://e2cgrandlille.sharepoint.com/:b:/s/E2CRessourcesPdagogiques/IQDUC4gl-q-dTbxFn4mBbiGqAUUmRMtnVsAAy4tV4jNS6no?e=Dbq1DA" TargetMode="External"/><Relationship Id="rId87" Type="http://schemas.openxmlformats.org/officeDocument/2006/relationships/hyperlink" Target="https://e2cgrandlille.sharepoint.com/:w:/s/E2CRessourcesPdagogiques/IQDxN9-Yvt3dSY9m8E4LH1IGARHVoNSPSeImEGMysqmbYzk?e=cNCeT7" TargetMode="External"/><Relationship Id="rId61" Type="http://schemas.openxmlformats.org/officeDocument/2006/relationships/hyperlink" Target="https://e2cgrandlille.sharepoint.com/:w:/s/E2CRessourcesPdagogiques/IQAbFJhpWQMGQZUUU5Ojay1DAYyo7LiO46dwTb81qFVOQpM?e=P1xkty" TargetMode="External"/><Relationship Id="rId82" Type="http://schemas.openxmlformats.org/officeDocument/2006/relationships/hyperlink" Target="https://e2cgrandlille.sharepoint.com/:f:/s/E2CRessourcesPdagogiques/IgD59csxbfXuRp66SdjISCmgAQF0ljL39UXwX2OXESoR__8?e=TvZyH7" TargetMode="External"/><Relationship Id="rId19" Type="http://schemas.openxmlformats.org/officeDocument/2006/relationships/hyperlink" Target="https://e2cgrandlille.sharepoint.com/:f:/s/E2CRessourcesPdagogiques/Evgl4fa7PCNOpeS_jC40cQEB136eOR5gOuAabfzCgDGtLg?e=VVqsW4" TargetMode="External"/><Relationship Id="rId14" Type="http://schemas.openxmlformats.org/officeDocument/2006/relationships/hyperlink" Target="https://e2cgrandlille.sharepoint.com/:f:/s/E2CRessourcesPdagogiques/Eit6_q5rEv1El7S1sjkVh0MBw9oc-Mgtu_tpRATbahgfaw?e=ck1iRe" TargetMode="External"/><Relationship Id="rId30" Type="http://schemas.openxmlformats.org/officeDocument/2006/relationships/hyperlink" Target="https://portaile2cgrandlille.weebly.com/" TargetMode="External"/><Relationship Id="rId35" Type="http://schemas.openxmlformats.org/officeDocument/2006/relationships/hyperlink" Target="https://e2cgrandlille.sharepoint.com/:f:/s/E2CRessourcesPdagogiques/IgAXKoCDk_XgTZzlJAqiCkWpATb8xGy62BUa40dNuK5IvHQ?e=cMmuaf" TargetMode="External"/><Relationship Id="rId56" Type="http://schemas.openxmlformats.org/officeDocument/2006/relationships/hyperlink" Target="https://e2cgrandlille.sharepoint.com/:b:/s/E2CRessourcesPdagogiques/IQBXcyxO6ETnQ59xZlCAKkulAZN0e8h0FrS4945iZayMuGg?e=9EGfAa" TargetMode="External"/><Relationship Id="rId77" Type="http://schemas.openxmlformats.org/officeDocument/2006/relationships/hyperlink" Target="https://e2cgrandlille.sharepoint.com/:b:/s/E2CRessourcesPdagogiques/IQDXGPLC5B0KSop8SJ1Tly0eAW71DxRtipxvCwqidFn4A9I?e=RSnE3X" TargetMode="External"/><Relationship Id="rId100" Type="http://schemas.openxmlformats.org/officeDocument/2006/relationships/hyperlink" Target="https://e2cgrandlille.sharepoint.com/:w:/s/E2CRessourcesPdagogiques/IQBmR3DOwT4LRqOnsmwIhOkxAWRUGx7bMacFkHFuXHV8qL8?e=6kS7X5" TargetMode="External"/><Relationship Id="rId8" Type="http://schemas.openxmlformats.org/officeDocument/2006/relationships/hyperlink" Target="https://e2cgrandlille.sharepoint.com/:w:/s/E2CRessourcesPdagogiques/EexOMPDA7JlOjRMoAJNg6kQBMvH3w0reY5YIow9ItGinRA?e=8Wexcg" TargetMode="External"/><Relationship Id="rId51" Type="http://schemas.openxmlformats.org/officeDocument/2006/relationships/hyperlink" Target="https://e2cgrandlille.sharepoint.com/:b:/s/E2CRessourcesPdagogiques/IQAZiz3qXbXRQJhiR5MEHE6zAZZ_u52kHWom_c1kiMespjM?e=PbyAf4" TargetMode="External"/><Relationship Id="rId72" Type="http://schemas.openxmlformats.org/officeDocument/2006/relationships/hyperlink" Target="https://e2cgrandlille.sharepoint.com/:b:/s/E2CRessourcesPdagogiques/IQDOsBmgkd2zQJlwznSNMDRlAfG5L4WPKhOCzFZWioKPyGQ?e=GKqVHX" TargetMode="External"/><Relationship Id="rId93" Type="http://schemas.openxmlformats.org/officeDocument/2006/relationships/hyperlink" Target="https://e2cgrandlille.sharepoint.com/:w:/s/E2CRessourcesPdagogiques/IQB8_MdYRlU_RrCZWfDNm9qbASIjwm2sMp6A77kmN6BRbW4?e=QOs1qz" TargetMode="External"/><Relationship Id="rId98" Type="http://schemas.openxmlformats.org/officeDocument/2006/relationships/hyperlink" Target="https://e2cgrandlille.sharepoint.com/:f:/s/E2CRessourcesPdagogiques/IgAydhClxal7QJfeQB04FHlWAXwrFpt-Nn1rWc20rRRyfac?e=Mf5jAp" TargetMode="External"/><Relationship Id="rId3" Type="http://schemas.openxmlformats.org/officeDocument/2006/relationships/hyperlink" Target="https://e2cgrandlille.sharepoint.com/:f:/s/E2CRessourcesPdagogiques/Eo5Ps2_JXdRLoTVi9vaUTZUB-ykIXxk3F1X4XWSko_CLzA?e=Wbvwmu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89"/>
  <sheetViews>
    <sheetView workbookViewId="0">
      <pane ySplit="1" topLeftCell="A2" activePane="bottomLeft" state="frozen"/>
      <selection pane="bottomLeft" activeCell="N389" sqref="N389"/>
    </sheetView>
  </sheetViews>
  <sheetFormatPr defaultColWidth="11.42578125" defaultRowHeight="15"/>
  <cols>
    <col min="1" max="1" width="53" customWidth="1"/>
    <col min="2" max="2" width="18" customWidth="1"/>
    <col min="3" max="4" width="15.42578125" hidden="1" customWidth="1"/>
    <col min="5" max="5" width="18" bestFit="1" customWidth="1"/>
    <col min="6" max="6" width="21.28515625" customWidth="1"/>
    <col min="7" max="7" width="7" customWidth="1"/>
    <col min="8" max="8" width="17.28515625" customWidth="1"/>
    <col min="9" max="9" width="16.5703125" customWidth="1"/>
    <col min="10" max="12" width="14.42578125" customWidth="1"/>
    <col min="14" max="14" width="35.42578125" bestFit="1" customWidth="1"/>
    <col min="15" max="16" width="16.28515625" customWidth="1"/>
    <col min="17" max="17" width="15.140625" bestFit="1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8" s="4" customForma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4" t="s">
        <v>23</v>
      </c>
      <c r="I2" s="4" t="s">
        <v>23</v>
      </c>
      <c r="J2" s="4" t="s">
        <v>24</v>
      </c>
      <c r="K2" s="4" t="s">
        <v>25</v>
      </c>
      <c r="L2" s="4" t="s">
        <v>26</v>
      </c>
      <c r="M2" s="4" t="s">
        <v>27</v>
      </c>
      <c r="N2" s="4" t="s">
        <v>28</v>
      </c>
      <c r="O2" s="5" t="s">
        <v>29</v>
      </c>
      <c r="P2" s="4" t="s">
        <v>23</v>
      </c>
      <c r="Q2" s="4">
        <v>3</v>
      </c>
      <c r="R2" s="5"/>
    </row>
    <row r="3" spans="1:18">
      <c r="A3" t="s">
        <v>30</v>
      </c>
      <c r="B3" t="s">
        <v>31</v>
      </c>
      <c r="C3" t="s">
        <v>32</v>
      </c>
      <c r="D3" t="s">
        <v>20</v>
      </c>
      <c r="G3" t="s">
        <v>25</v>
      </c>
      <c r="M3" t="s">
        <v>27</v>
      </c>
      <c r="N3" t="s">
        <v>33</v>
      </c>
    </row>
    <row r="4" spans="1:18" s="4" customFormat="1">
      <c r="A4" s="4" t="s">
        <v>34</v>
      </c>
      <c r="B4" s="4" t="s">
        <v>18</v>
      </c>
      <c r="C4" s="4" t="s">
        <v>35</v>
      </c>
      <c r="D4" s="4" t="s">
        <v>36</v>
      </c>
      <c r="E4" s="4" t="s">
        <v>37</v>
      </c>
      <c r="F4" s="4" t="s">
        <v>22</v>
      </c>
      <c r="G4" s="4" t="s">
        <v>23</v>
      </c>
      <c r="H4" s="4" t="s">
        <v>23</v>
      </c>
      <c r="I4" s="4" t="s">
        <v>23</v>
      </c>
      <c r="J4" s="4" t="s">
        <v>38</v>
      </c>
      <c r="K4" s="4" t="s">
        <v>25</v>
      </c>
      <c r="L4" s="4" t="s">
        <v>39</v>
      </c>
      <c r="M4" s="4" t="s">
        <v>27</v>
      </c>
      <c r="N4" s="4" t="s">
        <v>40</v>
      </c>
      <c r="O4" s="5" t="s">
        <v>41</v>
      </c>
      <c r="P4" s="4" t="s">
        <v>25</v>
      </c>
      <c r="Q4" s="4">
        <v>3</v>
      </c>
    </row>
    <row r="5" spans="1:18">
      <c r="A5" s="4" t="s">
        <v>42</v>
      </c>
      <c r="B5" s="4" t="s">
        <v>18</v>
      </c>
      <c r="C5" s="4" t="s">
        <v>43</v>
      </c>
      <c r="D5" s="4" t="s">
        <v>20</v>
      </c>
      <c r="E5" s="4" t="s">
        <v>44</v>
      </c>
      <c r="F5" s="4" t="s">
        <v>22</v>
      </c>
      <c r="G5" s="4" t="s">
        <v>23</v>
      </c>
      <c r="H5" s="4" t="s">
        <v>23</v>
      </c>
      <c r="I5" s="4" t="s">
        <v>23</v>
      </c>
      <c r="J5" s="4" t="s">
        <v>45</v>
      </c>
      <c r="K5" s="4" t="s">
        <v>25</v>
      </c>
      <c r="L5" s="4" t="s">
        <v>46</v>
      </c>
      <c r="M5" s="4" t="s">
        <v>47</v>
      </c>
      <c r="N5" s="4" t="s">
        <v>33</v>
      </c>
      <c r="O5" s="5" t="s">
        <v>48</v>
      </c>
      <c r="P5" s="4" t="s">
        <v>23</v>
      </c>
      <c r="Q5" s="4">
        <v>3</v>
      </c>
      <c r="R5" s="4"/>
    </row>
    <row r="6" spans="1:18">
      <c r="A6" s="4" t="s">
        <v>49</v>
      </c>
      <c r="B6" s="4" t="s">
        <v>18</v>
      </c>
      <c r="C6" s="4" t="s">
        <v>43</v>
      </c>
      <c r="D6" s="4" t="s">
        <v>50</v>
      </c>
      <c r="E6" s="4" t="s">
        <v>51</v>
      </c>
      <c r="F6" s="4" t="s">
        <v>22</v>
      </c>
      <c r="G6" s="4" t="s">
        <v>23</v>
      </c>
      <c r="H6" s="4" t="s">
        <v>23</v>
      </c>
      <c r="I6" s="4" t="s">
        <v>23</v>
      </c>
      <c r="J6" s="4" t="s">
        <v>52</v>
      </c>
      <c r="K6" s="4" t="s">
        <v>25</v>
      </c>
      <c r="L6" s="4" t="s">
        <v>53</v>
      </c>
      <c r="M6" s="4" t="s">
        <v>54</v>
      </c>
      <c r="N6" s="4" t="s">
        <v>33</v>
      </c>
      <c r="O6" s="5" t="s">
        <v>55</v>
      </c>
      <c r="P6" s="4" t="s">
        <v>25</v>
      </c>
      <c r="Q6" s="4">
        <v>3</v>
      </c>
      <c r="R6" s="4"/>
    </row>
    <row r="7" spans="1:18">
      <c r="A7" s="4" t="s">
        <v>56</v>
      </c>
      <c r="B7" s="4" t="s">
        <v>18</v>
      </c>
      <c r="C7" s="4" t="s">
        <v>43</v>
      </c>
      <c r="D7" s="4" t="s">
        <v>50</v>
      </c>
      <c r="E7" s="4" t="s">
        <v>51</v>
      </c>
      <c r="F7" s="4" t="s">
        <v>22</v>
      </c>
      <c r="G7" s="4" t="s">
        <v>23</v>
      </c>
      <c r="H7" s="4" t="s">
        <v>23</v>
      </c>
      <c r="I7" s="4" t="s">
        <v>23</v>
      </c>
      <c r="J7" s="4" t="s">
        <v>52</v>
      </c>
      <c r="K7" s="4" t="s">
        <v>25</v>
      </c>
      <c r="L7" s="4" t="s">
        <v>53</v>
      </c>
      <c r="M7" s="4" t="s">
        <v>54</v>
      </c>
      <c r="N7" s="4" t="s">
        <v>33</v>
      </c>
      <c r="O7" s="5" t="s">
        <v>55</v>
      </c>
      <c r="P7" s="4" t="s">
        <v>25</v>
      </c>
      <c r="Q7" s="4">
        <v>3</v>
      </c>
      <c r="R7" s="4"/>
    </row>
    <row r="8" spans="1:18">
      <c r="A8" s="4" t="s">
        <v>57</v>
      </c>
      <c r="B8" s="4" t="s">
        <v>18</v>
      </c>
      <c r="C8" s="4" t="s">
        <v>43</v>
      </c>
      <c r="D8" s="4" t="s">
        <v>50</v>
      </c>
      <c r="E8" s="4" t="s">
        <v>51</v>
      </c>
      <c r="F8" s="4" t="s">
        <v>22</v>
      </c>
      <c r="G8" s="4" t="s">
        <v>23</v>
      </c>
      <c r="H8" s="4" t="s">
        <v>23</v>
      </c>
      <c r="I8" s="4" t="s">
        <v>23</v>
      </c>
      <c r="J8" s="4" t="s">
        <v>52</v>
      </c>
      <c r="K8" s="4" t="s">
        <v>25</v>
      </c>
      <c r="L8" s="4" t="s">
        <v>53</v>
      </c>
      <c r="M8" s="4" t="s">
        <v>54</v>
      </c>
      <c r="N8" s="4" t="s">
        <v>33</v>
      </c>
      <c r="O8" s="5" t="s">
        <v>55</v>
      </c>
      <c r="P8" s="4" t="s">
        <v>25</v>
      </c>
      <c r="Q8" s="4">
        <v>3</v>
      </c>
      <c r="R8" s="4"/>
    </row>
    <row r="9" spans="1:18">
      <c r="A9" s="4" t="s">
        <v>58</v>
      </c>
      <c r="B9" s="4" t="s">
        <v>18</v>
      </c>
      <c r="C9" s="4" t="s">
        <v>35</v>
      </c>
      <c r="D9" s="4" t="s">
        <v>59</v>
      </c>
      <c r="E9" s="4" t="s">
        <v>60</v>
      </c>
      <c r="F9" s="4" t="s">
        <v>22</v>
      </c>
      <c r="G9" s="4" t="s">
        <v>23</v>
      </c>
      <c r="H9" s="4" t="s">
        <v>23</v>
      </c>
      <c r="I9" s="4" t="s">
        <v>23</v>
      </c>
      <c r="J9" s="4" t="s">
        <v>45</v>
      </c>
      <c r="K9" s="4" t="s">
        <v>23</v>
      </c>
      <c r="L9" s="4"/>
      <c r="M9" s="4" t="s">
        <v>27</v>
      </c>
      <c r="N9" s="4" t="s">
        <v>40</v>
      </c>
      <c r="O9" s="5" t="s">
        <v>61</v>
      </c>
      <c r="P9" s="4" t="s">
        <v>23</v>
      </c>
      <c r="Q9" s="4">
        <v>3</v>
      </c>
      <c r="R9" s="4"/>
    </row>
    <row r="10" spans="1:18">
      <c r="A10" s="4" t="s">
        <v>62</v>
      </c>
      <c r="B10" s="4" t="s">
        <v>18</v>
      </c>
      <c r="C10" s="4" t="s">
        <v>35</v>
      </c>
      <c r="D10" s="4" t="s">
        <v>50</v>
      </c>
      <c r="E10" s="4" t="s">
        <v>60</v>
      </c>
      <c r="F10" s="4" t="s">
        <v>22</v>
      </c>
      <c r="G10" s="4" t="s">
        <v>23</v>
      </c>
      <c r="H10" s="4" t="s">
        <v>23</v>
      </c>
      <c r="I10" s="4" t="s">
        <v>23</v>
      </c>
      <c r="J10" s="4" t="s">
        <v>45</v>
      </c>
      <c r="K10" s="4" t="s">
        <v>23</v>
      </c>
      <c r="L10" s="4"/>
      <c r="M10" s="4" t="s">
        <v>27</v>
      </c>
      <c r="N10" s="4" t="s">
        <v>40</v>
      </c>
      <c r="O10" s="5" t="s">
        <v>61</v>
      </c>
      <c r="P10" s="4" t="s">
        <v>23</v>
      </c>
      <c r="Q10" s="4">
        <v>3</v>
      </c>
      <c r="R10" s="4"/>
    </row>
    <row r="11" spans="1:18">
      <c r="A11" s="4" t="s">
        <v>63</v>
      </c>
      <c r="B11" s="4" t="s">
        <v>18</v>
      </c>
      <c r="C11" s="4" t="s">
        <v>35</v>
      </c>
      <c r="D11" s="4" t="s">
        <v>20</v>
      </c>
      <c r="E11" s="4" t="s">
        <v>60</v>
      </c>
      <c r="F11" s="4" t="s">
        <v>22</v>
      </c>
      <c r="G11" s="4" t="s">
        <v>23</v>
      </c>
      <c r="H11" s="4" t="s">
        <v>23</v>
      </c>
      <c r="I11" s="4" t="s">
        <v>23</v>
      </c>
      <c r="J11" s="4" t="s">
        <v>45</v>
      </c>
      <c r="K11" s="4" t="s">
        <v>23</v>
      </c>
      <c r="L11" s="4" t="s">
        <v>39</v>
      </c>
      <c r="M11" s="4" t="s">
        <v>27</v>
      </c>
      <c r="N11" s="4" t="s">
        <v>64</v>
      </c>
      <c r="O11" s="5" t="s">
        <v>65</v>
      </c>
      <c r="P11" s="4" t="s">
        <v>23</v>
      </c>
      <c r="Q11" s="4">
        <v>4</v>
      </c>
      <c r="R11" s="4"/>
    </row>
    <row r="12" spans="1:18">
      <c r="A12" s="4" t="s">
        <v>66</v>
      </c>
      <c r="B12" s="4" t="s">
        <v>18</v>
      </c>
      <c r="C12" s="4" t="s">
        <v>19</v>
      </c>
      <c r="D12" s="4" t="s">
        <v>20</v>
      </c>
      <c r="E12" s="4" t="s">
        <v>19</v>
      </c>
      <c r="F12" s="4" t="s">
        <v>22</v>
      </c>
      <c r="G12" s="4" t="s">
        <v>23</v>
      </c>
      <c r="H12" s="4" t="s">
        <v>23</v>
      </c>
      <c r="I12" s="4" t="s">
        <v>23</v>
      </c>
      <c r="J12" s="4" t="s">
        <v>45</v>
      </c>
      <c r="K12" s="4" t="s">
        <v>25</v>
      </c>
      <c r="L12" s="4"/>
      <c r="M12" s="4" t="s">
        <v>54</v>
      </c>
      <c r="N12" s="4" t="s">
        <v>28</v>
      </c>
      <c r="O12" s="4"/>
      <c r="P12" s="4" t="s">
        <v>25</v>
      </c>
      <c r="Q12" s="4">
        <v>3</v>
      </c>
      <c r="R12" s="4"/>
    </row>
    <row r="13" spans="1:18" s="4" customFormat="1">
      <c r="A13" s="4" t="s">
        <v>67</v>
      </c>
      <c r="B13" s="4" t="s">
        <v>18</v>
      </c>
      <c r="C13" s="4" t="s">
        <v>19</v>
      </c>
      <c r="D13" s="4" t="s">
        <v>20</v>
      </c>
      <c r="E13" s="4" t="s">
        <v>19</v>
      </c>
      <c r="F13" s="4" t="s">
        <v>22</v>
      </c>
      <c r="G13" s="4" t="s">
        <v>23</v>
      </c>
      <c r="H13" s="4" t="s">
        <v>23</v>
      </c>
      <c r="I13" s="4" t="s">
        <v>23</v>
      </c>
      <c r="J13" s="4" t="s">
        <v>45</v>
      </c>
      <c r="K13" s="4" t="s">
        <v>25</v>
      </c>
      <c r="L13" s="4" t="s">
        <v>68</v>
      </c>
      <c r="M13" s="4" t="s">
        <v>54</v>
      </c>
      <c r="N13" s="4" t="s">
        <v>28</v>
      </c>
      <c r="P13" s="4" t="s">
        <v>25</v>
      </c>
      <c r="Q13" s="4">
        <v>3</v>
      </c>
    </row>
    <row r="14" spans="1:18" s="4" customFormat="1">
      <c r="A14" s="4" t="s">
        <v>69</v>
      </c>
      <c r="B14" s="4" t="s">
        <v>18</v>
      </c>
      <c r="C14" s="4" t="s">
        <v>43</v>
      </c>
      <c r="D14" s="4" t="s">
        <v>20</v>
      </c>
      <c r="E14" s="4" t="s">
        <v>19</v>
      </c>
      <c r="F14" s="4" t="s">
        <v>22</v>
      </c>
      <c r="G14" s="4" t="s">
        <v>23</v>
      </c>
      <c r="H14" s="4" t="s">
        <v>23</v>
      </c>
      <c r="I14" s="4" t="s">
        <v>23</v>
      </c>
      <c r="J14" s="4" t="s">
        <v>70</v>
      </c>
      <c r="K14" s="4" t="s">
        <v>25</v>
      </c>
      <c r="L14" s="4" t="s">
        <v>71</v>
      </c>
      <c r="M14" s="4" t="s">
        <v>27</v>
      </c>
      <c r="N14" s="4" t="s">
        <v>40</v>
      </c>
      <c r="O14" s="5" t="s">
        <v>72</v>
      </c>
      <c r="Q14" s="4">
        <v>3</v>
      </c>
    </row>
    <row r="15" spans="1:18" s="4" customFormat="1">
      <c r="A15" s="4" t="s">
        <v>73</v>
      </c>
      <c r="B15" s="4" t="s">
        <v>18</v>
      </c>
      <c r="C15" s="4" t="s">
        <v>19</v>
      </c>
      <c r="D15" s="4" t="s">
        <v>20</v>
      </c>
      <c r="E15" s="4" t="s">
        <v>19</v>
      </c>
      <c r="F15" s="4" t="s">
        <v>22</v>
      </c>
      <c r="G15" s="4" t="s">
        <v>23</v>
      </c>
      <c r="H15" s="4" t="s">
        <v>23</v>
      </c>
      <c r="I15" s="4" t="s">
        <v>23</v>
      </c>
      <c r="J15" s="4" t="s">
        <v>45</v>
      </c>
      <c r="K15" s="4" t="s">
        <v>23</v>
      </c>
      <c r="M15" s="4" t="s">
        <v>27</v>
      </c>
      <c r="N15" s="4" t="s">
        <v>40</v>
      </c>
      <c r="O15" s="5" t="s">
        <v>72</v>
      </c>
      <c r="P15" s="4" t="s">
        <v>25</v>
      </c>
      <c r="Q15" s="4">
        <v>3</v>
      </c>
    </row>
    <row r="16" spans="1:18" s="4" customFormat="1">
      <c r="A16" s="4" t="s">
        <v>74</v>
      </c>
      <c r="B16" s="4" t="s">
        <v>18</v>
      </c>
      <c r="C16" s="4" t="s">
        <v>19</v>
      </c>
      <c r="D16" s="4" t="s">
        <v>20</v>
      </c>
      <c r="E16" s="4" t="s">
        <v>19</v>
      </c>
      <c r="F16" s="4" t="s">
        <v>22</v>
      </c>
      <c r="G16" s="4" t="s">
        <v>23</v>
      </c>
      <c r="H16" s="4" t="s">
        <v>23</v>
      </c>
      <c r="I16" s="4" t="s">
        <v>23</v>
      </c>
      <c r="J16" s="4" t="s">
        <v>75</v>
      </c>
      <c r="K16" s="4" t="s">
        <v>23</v>
      </c>
      <c r="M16" s="4" t="s">
        <v>27</v>
      </c>
      <c r="N16" s="4" t="s">
        <v>40</v>
      </c>
      <c r="P16" s="4" t="s">
        <v>25</v>
      </c>
      <c r="Q16" s="4">
        <v>3</v>
      </c>
    </row>
    <row r="17" spans="1:18" s="4" customFormat="1">
      <c r="A17" s="4" t="s">
        <v>76</v>
      </c>
      <c r="B17" s="4" t="s">
        <v>18</v>
      </c>
      <c r="C17" s="4" t="s">
        <v>19</v>
      </c>
      <c r="D17" s="4" t="s">
        <v>20</v>
      </c>
      <c r="E17" s="4" t="s">
        <v>19</v>
      </c>
      <c r="F17" s="4" t="s">
        <v>22</v>
      </c>
      <c r="G17" s="4" t="s">
        <v>23</v>
      </c>
      <c r="H17" s="4" t="s">
        <v>23</v>
      </c>
      <c r="I17" s="4" t="s">
        <v>23</v>
      </c>
      <c r="J17" s="4" t="s">
        <v>75</v>
      </c>
      <c r="K17" s="4" t="s">
        <v>23</v>
      </c>
      <c r="M17" s="4" t="s">
        <v>54</v>
      </c>
      <c r="N17" s="4" t="s">
        <v>28</v>
      </c>
      <c r="P17" s="4" t="s">
        <v>25</v>
      </c>
      <c r="Q17" s="4">
        <v>3</v>
      </c>
    </row>
    <row r="18" spans="1:18" s="4" customFormat="1">
      <c r="A18" s="4" t="s">
        <v>77</v>
      </c>
      <c r="B18" s="4" t="s">
        <v>18</v>
      </c>
      <c r="C18" s="4" t="s">
        <v>19</v>
      </c>
      <c r="D18" s="4" t="s">
        <v>36</v>
      </c>
      <c r="E18" s="4" t="s">
        <v>19</v>
      </c>
      <c r="F18" s="4" t="s">
        <v>22</v>
      </c>
      <c r="G18" s="4" t="s">
        <v>23</v>
      </c>
      <c r="H18" s="4" t="s">
        <v>23</v>
      </c>
      <c r="I18" s="4" t="s">
        <v>23</v>
      </c>
      <c r="J18" s="4" t="s">
        <v>45</v>
      </c>
      <c r="K18" s="4" t="s">
        <v>23</v>
      </c>
      <c r="M18" s="4" t="s">
        <v>54</v>
      </c>
      <c r="N18" s="4" t="s">
        <v>28</v>
      </c>
      <c r="O18" s="5" t="s">
        <v>78</v>
      </c>
      <c r="P18" s="4" t="s">
        <v>23</v>
      </c>
      <c r="Q18" s="4">
        <v>3</v>
      </c>
    </row>
    <row r="19" spans="1:18" s="4" customFormat="1">
      <c r="A19" s="4" t="s">
        <v>79</v>
      </c>
      <c r="B19" s="4" t="s">
        <v>18</v>
      </c>
      <c r="C19" s="4" t="s">
        <v>35</v>
      </c>
      <c r="D19" s="4" t="s">
        <v>59</v>
      </c>
      <c r="E19" s="4" t="s">
        <v>37</v>
      </c>
      <c r="F19" s="4" t="s">
        <v>22</v>
      </c>
      <c r="G19" s="4" t="s">
        <v>23</v>
      </c>
      <c r="H19" s="4" t="s">
        <v>23</v>
      </c>
      <c r="I19" s="4" t="s">
        <v>23</v>
      </c>
      <c r="J19" s="4" t="s">
        <v>45</v>
      </c>
      <c r="K19" s="4" t="s">
        <v>23</v>
      </c>
      <c r="M19" s="4" t="s">
        <v>27</v>
      </c>
      <c r="N19" s="4" t="s">
        <v>40</v>
      </c>
      <c r="O19" s="5" t="s">
        <v>80</v>
      </c>
      <c r="P19" s="4" t="s">
        <v>23</v>
      </c>
      <c r="Q19" s="4">
        <v>3</v>
      </c>
    </row>
    <row r="20" spans="1:18" s="4" customFormat="1">
      <c r="A20" s="4" t="s">
        <v>81</v>
      </c>
      <c r="B20" s="4" t="s">
        <v>18</v>
      </c>
      <c r="C20" s="4" t="s">
        <v>35</v>
      </c>
      <c r="D20" s="4" t="s">
        <v>20</v>
      </c>
      <c r="E20" s="4" t="s">
        <v>37</v>
      </c>
      <c r="F20" s="4" t="s">
        <v>22</v>
      </c>
      <c r="G20" s="4" t="s">
        <v>23</v>
      </c>
      <c r="H20" s="4" t="s">
        <v>23</v>
      </c>
      <c r="I20" s="4" t="s">
        <v>23</v>
      </c>
      <c r="J20" s="4" t="s">
        <v>45</v>
      </c>
      <c r="K20" s="4" t="s">
        <v>25</v>
      </c>
      <c r="M20" s="4" t="s">
        <v>54</v>
      </c>
      <c r="N20" s="4" t="s">
        <v>28</v>
      </c>
      <c r="P20" s="4" t="s">
        <v>25</v>
      </c>
      <c r="Q20" s="4">
        <v>3</v>
      </c>
    </row>
    <row r="21" spans="1:18" s="4" customFormat="1">
      <c r="A21" s="4" t="s">
        <v>82</v>
      </c>
      <c r="B21" s="4" t="s">
        <v>18</v>
      </c>
      <c r="C21" s="4" t="s">
        <v>35</v>
      </c>
      <c r="D21" s="4" t="s">
        <v>20</v>
      </c>
      <c r="E21" s="4" t="s">
        <v>37</v>
      </c>
      <c r="F21" s="4" t="s">
        <v>22</v>
      </c>
      <c r="G21" s="4" t="s">
        <v>23</v>
      </c>
      <c r="H21" s="4" t="s">
        <v>23</v>
      </c>
      <c r="I21" s="4" t="s">
        <v>23</v>
      </c>
      <c r="J21" s="4" t="s">
        <v>45</v>
      </c>
      <c r="K21" s="4" t="s">
        <v>25</v>
      </c>
      <c r="L21" s="4" t="s">
        <v>68</v>
      </c>
      <c r="M21" s="4" t="s">
        <v>54</v>
      </c>
      <c r="N21" s="4" t="s">
        <v>28</v>
      </c>
      <c r="P21" s="4" t="s">
        <v>25</v>
      </c>
      <c r="Q21" s="4">
        <v>3</v>
      </c>
    </row>
    <row r="22" spans="1:18" s="6" customFormat="1">
      <c r="A22" s="4" t="s">
        <v>83</v>
      </c>
      <c r="B22" s="4" t="s">
        <v>18</v>
      </c>
      <c r="C22" s="4" t="s">
        <v>32</v>
      </c>
      <c r="D22" s="4" t="s">
        <v>20</v>
      </c>
      <c r="E22" s="4" t="s">
        <v>32</v>
      </c>
      <c r="F22" s="4" t="s">
        <v>22</v>
      </c>
      <c r="G22" s="4" t="s">
        <v>23</v>
      </c>
      <c r="H22" s="4" t="s">
        <v>23</v>
      </c>
      <c r="I22" s="4" t="s">
        <v>23</v>
      </c>
      <c r="J22" s="4" t="s">
        <v>45</v>
      </c>
      <c r="K22" s="4" t="s">
        <v>25</v>
      </c>
      <c r="L22" s="4" t="s">
        <v>84</v>
      </c>
      <c r="M22" s="4" t="s">
        <v>54</v>
      </c>
      <c r="N22" s="4" t="s">
        <v>85</v>
      </c>
      <c r="O22" s="4"/>
      <c r="P22" s="4" t="s">
        <v>25</v>
      </c>
      <c r="Q22" s="4">
        <v>3</v>
      </c>
      <c r="R22" s="4"/>
    </row>
    <row r="23" spans="1:18" s="4" customFormat="1">
      <c r="A23" s="4" t="s">
        <v>86</v>
      </c>
      <c r="B23" s="4" t="s">
        <v>18</v>
      </c>
      <c r="C23" s="4" t="s">
        <v>32</v>
      </c>
      <c r="D23" s="4" t="s">
        <v>20</v>
      </c>
      <c r="E23" s="4" t="s">
        <v>32</v>
      </c>
      <c r="F23" s="4" t="s">
        <v>22</v>
      </c>
      <c r="G23" s="4" t="s">
        <v>23</v>
      </c>
      <c r="H23" s="4" t="s">
        <v>23</v>
      </c>
      <c r="I23" s="4" t="s">
        <v>23</v>
      </c>
      <c r="J23" s="4" t="s">
        <v>45</v>
      </c>
      <c r="K23" s="4" t="s">
        <v>25</v>
      </c>
      <c r="M23" s="4" t="s">
        <v>54</v>
      </c>
      <c r="N23" s="4" t="s">
        <v>85</v>
      </c>
      <c r="P23" s="4" t="s">
        <v>25</v>
      </c>
      <c r="Q23" s="4">
        <v>3</v>
      </c>
    </row>
    <row r="24" spans="1:18" s="4" customFormat="1">
      <c r="A24" s="4" t="s">
        <v>87</v>
      </c>
      <c r="B24" s="4" t="s">
        <v>18</v>
      </c>
      <c r="C24" s="4" t="s">
        <v>43</v>
      </c>
      <c r="D24" s="4" t="s">
        <v>20</v>
      </c>
      <c r="E24" s="4" t="s">
        <v>88</v>
      </c>
      <c r="F24" s="4" t="s">
        <v>22</v>
      </c>
      <c r="G24" s="4" t="s">
        <v>23</v>
      </c>
      <c r="H24" s="4" t="s">
        <v>23</v>
      </c>
      <c r="I24" s="4" t="s">
        <v>23</v>
      </c>
      <c r="J24" s="4" t="s">
        <v>52</v>
      </c>
      <c r="K24" s="4" t="s">
        <v>23</v>
      </c>
      <c r="L24" s="4" t="s">
        <v>89</v>
      </c>
      <c r="M24" s="4" t="s">
        <v>47</v>
      </c>
      <c r="N24" s="4" t="s">
        <v>40</v>
      </c>
      <c r="O24" s="5" t="s">
        <v>90</v>
      </c>
      <c r="P24" s="4" t="s">
        <v>23</v>
      </c>
      <c r="Q24" s="4">
        <v>3</v>
      </c>
    </row>
    <row r="25" spans="1:18" s="4" customFormat="1">
      <c r="A25" s="4" t="s">
        <v>91</v>
      </c>
      <c r="B25" s="4" t="s">
        <v>18</v>
      </c>
      <c r="C25" s="4" t="s">
        <v>35</v>
      </c>
      <c r="D25" s="4" t="s">
        <v>20</v>
      </c>
      <c r="E25" s="4" t="s">
        <v>88</v>
      </c>
      <c r="F25" s="4" t="s">
        <v>22</v>
      </c>
      <c r="G25" s="4" t="s">
        <v>23</v>
      </c>
      <c r="H25" s="4" t="s">
        <v>23</v>
      </c>
      <c r="I25" s="4" t="s">
        <v>23</v>
      </c>
      <c r="J25" s="4" t="s">
        <v>45</v>
      </c>
      <c r="K25" s="4" t="s">
        <v>25</v>
      </c>
      <c r="M25" s="4" t="s">
        <v>27</v>
      </c>
      <c r="N25" s="4" t="s">
        <v>40</v>
      </c>
      <c r="O25" s="5" t="s">
        <v>92</v>
      </c>
      <c r="Q25" s="4">
        <v>3</v>
      </c>
    </row>
    <row r="26" spans="1:18" s="4" customFormat="1">
      <c r="A26" s="4" t="s">
        <v>93</v>
      </c>
      <c r="B26" s="4" t="s">
        <v>18</v>
      </c>
      <c r="C26" s="4" t="s">
        <v>35</v>
      </c>
      <c r="D26" s="4" t="s">
        <v>20</v>
      </c>
      <c r="E26" s="4" t="s">
        <v>88</v>
      </c>
      <c r="F26" s="4" t="s">
        <v>22</v>
      </c>
      <c r="G26" s="4" t="s">
        <v>23</v>
      </c>
      <c r="H26" s="4" t="s">
        <v>23</v>
      </c>
      <c r="I26" s="4" t="s">
        <v>23</v>
      </c>
      <c r="J26" s="4" t="s">
        <v>45</v>
      </c>
      <c r="K26" s="4" t="s">
        <v>23</v>
      </c>
      <c r="M26" s="4" t="s">
        <v>47</v>
      </c>
      <c r="N26" s="4" t="s">
        <v>40</v>
      </c>
      <c r="P26" s="4" t="s">
        <v>25</v>
      </c>
      <c r="Q26" s="4">
        <v>3</v>
      </c>
    </row>
    <row r="27" spans="1:18" s="4" customFormat="1">
      <c r="A27" s="4" t="s">
        <v>94</v>
      </c>
      <c r="B27" s="4" t="s">
        <v>18</v>
      </c>
      <c r="C27" s="4" t="s">
        <v>43</v>
      </c>
      <c r="D27" s="4" t="s">
        <v>50</v>
      </c>
      <c r="E27" s="4" t="s">
        <v>88</v>
      </c>
      <c r="F27" s="4" t="s">
        <v>22</v>
      </c>
      <c r="G27" s="4" t="s">
        <v>23</v>
      </c>
      <c r="H27" s="4" t="s">
        <v>23</v>
      </c>
      <c r="I27" s="4" t="s">
        <v>23</v>
      </c>
      <c r="J27" s="4" t="s">
        <v>45</v>
      </c>
      <c r="K27" s="4" t="s">
        <v>23</v>
      </c>
      <c r="L27" s="4" t="s">
        <v>95</v>
      </c>
      <c r="M27" s="4" t="s">
        <v>27</v>
      </c>
      <c r="N27" s="4" t="s">
        <v>33</v>
      </c>
      <c r="O27" s="5" t="s">
        <v>96</v>
      </c>
      <c r="P27" s="4" t="s">
        <v>23</v>
      </c>
      <c r="Q27" s="4">
        <v>3</v>
      </c>
    </row>
    <row r="28" spans="1:18" s="4" customFormat="1">
      <c r="A28" s="4" t="s">
        <v>17</v>
      </c>
      <c r="B28" s="4" t="s">
        <v>18</v>
      </c>
      <c r="C28" s="4" t="s">
        <v>19</v>
      </c>
      <c r="D28" s="4" t="s">
        <v>20</v>
      </c>
      <c r="E28" s="4" t="s">
        <v>19</v>
      </c>
      <c r="F28" s="4" t="s">
        <v>22</v>
      </c>
      <c r="G28" s="4" t="s">
        <v>23</v>
      </c>
      <c r="H28" s="4" t="s">
        <v>23</v>
      </c>
      <c r="I28" s="4" t="s">
        <v>23</v>
      </c>
      <c r="J28" s="4" t="s">
        <v>97</v>
      </c>
      <c r="K28" s="4" t="s">
        <v>25</v>
      </c>
      <c r="M28" s="4" t="s">
        <v>27</v>
      </c>
      <c r="N28" s="4" t="s">
        <v>40</v>
      </c>
      <c r="Q28" s="4">
        <v>3</v>
      </c>
    </row>
    <row r="29" spans="1:18" s="4" customFormat="1">
      <c r="A29" s="4" t="s">
        <v>98</v>
      </c>
      <c r="B29" s="4" t="s">
        <v>18</v>
      </c>
      <c r="C29" s="4" t="s">
        <v>99</v>
      </c>
      <c r="D29" s="4" t="s">
        <v>36</v>
      </c>
      <c r="E29" s="4" t="s">
        <v>100</v>
      </c>
      <c r="F29" s="4" t="s">
        <v>101</v>
      </c>
      <c r="G29" s="4" t="s">
        <v>23</v>
      </c>
      <c r="H29" s="4" t="s">
        <v>23</v>
      </c>
      <c r="I29" s="4" t="s">
        <v>23</v>
      </c>
      <c r="J29" s="4" t="s">
        <v>52</v>
      </c>
      <c r="K29" s="4" t="s">
        <v>23</v>
      </c>
      <c r="L29" s="4" t="s">
        <v>102</v>
      </c>
      <c r="M29" s="4" t="s">
        <v>103</v>
      </c>
      <c r="N29" s="4" t="s">
        <v>33</v>
      </c>
      <c r="O29" s="5" t="s">
        <v>104</v>
      </c>
      <c r="Q29" s="4">
        <v>3</v>
      </c>
    </row>
    <row r="30" spans="1:18" s="4" customFormat="1">
      <c r="A30" s="4" t="s">
        <v>105</v>
      </c>
      <c r="B30" s="4" t="s">
        <v>18</v>
      </c>
      <c r="C30" s="4" t="s">
        <v>99</v>
      </c>
      <c r="D30" s="4" t="s">
        <v>36</v>
      </c>
      <c r="E30" s="4" t="s">
        <v>100</v>
      </c>
      <c r="F30" s="4" t="s">
        <v>22</v>
      </c>
      <c r="G30" s="4" t="s">
        <v>23</v>
      </c>
      <c r="H30" s="4" t="s">
        <v>23</v>
      </c>
      <c r="I30" s="4" t="s">
        <v>23</v>
      </c>
      <c r="J30" s="4" t="s">
        <v>52</v>
      </c>
      <c r="K30" s="4" t="s">
        <v>23</v>
      </c>
      <c r="L30" s="4" t="s">
        <v>102</v>
      </c>
      <c r="M30" s="4" t="s">
        <v>103</v>
      </c>
      <c r="N30" s="4" t="s">
        <v>106</v>
      </c>
      <c r="O30" s="5" t="s">
        <v>107</v>
      </c>
      <c r="Q30" s="4">
        <v>3</v>
      </c>
    </row>
    <row r="31" spans="1:18" s="4" customFormat="1">
      <c r="A31" s="4" t="s">
        <v>108</v>
      </c>
      <c r="B31" s="4" t="s">
        <v>18</v>
      </c>
      <c r="C31" s="4" t="s">
        <v>99</v>
      </c>
      <c r="D31" s="4" t="s">
        <v>36</v>
      </c>
      <c r="E31" s="4" t="s">
        <v>100</v>
      </c>
      <c r="F31" s="4" t="s">
        <v>22</v>
      </c>
      <c r="G31" s="4" t="s">
        <v>23</v>
      </c>
      <c r="H31" s="4" t="s">
        <v>23</v>
      </c>
      <c r="I31" s="4" t="s">
        <v>23</v>
      </c>
      <c r="J31" s="4" t="s">
        <v>52</v>
      </c>
      <c r="K31" s="4" t="s">
        <v>23</v>
      </c>
      <c r="L31" s="4" t="s">
        <v>102</v>
      </c>
      <c r="M31" s="4" t="s">
        <v>103</v>
      </c>
      <c r="N31" s="4" t="s">
        <v>85</v>
      </c>
      <c r="O31" s="5" t="s">
        <v>107</v>
      </c>
      <c r="Q31" s="4">
        <v>3</v>
      </c>
    </row>
    <row r="32" spans="1:18" s="4" customFormat="1">
      <c r="A32" s="4" t="s">
        <v>109</v>
      </c>
      <c r="B32" s="4" t="s">
        <v>18</v>
      </c>
      <c r="C32" s="4" t="s">
        <v>99</v>
      </c>
      <c r="D32" s="4" t="s">
        <v>36</v>
      </c>
      <c r="E32" s="4" t="s">
        <v>100</v>
      </c>
      <c r="F32" s="4" t="s">
        <v>22</v>
      </c>
      <c r="G32" s="4" t="s">
        <v>23</v>
      </c>
      <c r="H32" s="4" t="s">
        <v>23</v>
      </c>
      <c r="I32" s="4" t="s">
        <v>23</v>
      </c>
      <c r="J32" s="4" t="s">
        <v>52</v>
      </c>
      <c r="K32" s="4" t="s">
        <v>23</v>
      </c>
      <c r="L32" s="4" t="s">
        <v>102</v>
      </c>
      <c r="M32" s="4" t="s">
        <v>54</v>
      </c>
      <c r="N32" s="4" t="s">
        <v>64</v>
      </c>
      <c r="O32" s="5" t="s">
        <v>107</v>
      </c>
      <c r="Q32" s="4">
        <v>3</v>
      </c>
    </row>
    <row r="33" spans="1:18" s="4" customFormat="1">
      <c r="A33" s="4" t="s">
        <v>110</v>
      </c>
      <c r="B33" s="4" t="s">
        <v>18</v>
      </c>
      <c r="C33" s="4" t="s">
        <v>99</v>
      </c>
      <c r="D33" s="4" t="s">
        <v>36</v>
      </c>
      <c r="E33" s="4" t="s">
        <v>100</v>
      </c>
      <c r="F33" s="4" t="s">
        <v>22</v>
      </c>
      <c r="G33" s="4" t="s">
        <v>23</v>
      </c>
      <c r="H33" s="4" t="s">
        <v>23</v>
      </c>
      <c r="I33" s="4" t="s">
        <v>23</v>
      </c>
      <c r="J33" s="4" t="s">
        <v>52</v>
      </c>
      <c r="K33" s="4" t="s">
        <v>23</v>
      </c>
      <c r="L33" s="4" t="s">
        <v>102</v>
      </c>
      <c r="M33" s="4" t="s">
        <v>27</v>
      </c>
      <c r="N33" s="4" t="s">
        <v>33</v>
      </c>
      <c r="O33" s="5" t="s">
        <v>111</v>
      </c>
      <c r="Q33" s="4">
        <v>3</v>
      </c>
    </row>
    <row r="34" spans="1:18" s="4" customFormat="1">
      <c r="A34" s="4" t="s">
        <v>112</v>
      </c>
      <c r="B34" s="4" t="s">
        <v>18</v>
      </c>
      <c r="C34" s="4" t="s">
        <v>99</v>
      </c>
      <c r="D34" s="4" t="s">
        <v>20</v>
      </c>
      <c r="E34" s="4" t="s">
        <v>113</v>
      </c>
      <c r="F34" s="4" t="s">
        <v>114</v>
      </c>
      <c r="G34" s="4" t="s">
        <v>25</v>
      </c>
      <c r="H34" s="4" t="s">
        <v>23</v>
      </c>
      <c r="I34" s="4" t="s">
        <v>23</v>
      </c>
      <c r="J34" s="4" t="s">
        <v>115</v>
      </c>
      <c r="K34" s="4" t="s">
        <v>23</v>
      </c>
      <c r="N34" s="4" t="s">
        <v>28</v>
      </c>
      <c r="O34" s="5" t="s">
        <v>116</v>
      </c>
      <c r="P34" s="4" t="s">
        <v>23</v>
      </c>
      <c r="Q34" s="4">
        <v>3</v>
      </c>
    </row>
    <row r="35" spans="1:18" s="4" customFormat="1">
      <c r="A35" s="4" t="s">
        <v>117</v>
      </c>
      <c r="B35" s="4" t="s">
        <v>18</v>
      </c>
      <c r="C35" s="4" t="s">
        <v>99</v>
      </c>
      <c r="D35" s="4" t="s">
        <v>20</v>
      </c>
      <c r="E35" s="4" t="s">
        <v>113</v>
      </c>
      <c r="F35" s="4" t="s">
        <v>114</v>
      </c>
      <c r="G35" s="4" t="s">
        <v>25</v>
      </c>
      <c r="H35" s="4" t="s">
        <v>23</v>
      </c>
      <c r="I35" s="4" t="s">
        <v>23</v>
      </c>
      <c r="J35" s="4" t="s">
        <v>115</v>
      </c>
      <c r="K35" s="4" t="s">
        <v>23</v>
      </c>
      <c r="N35" s="4" t="s">
        <v>28</v>
      </c>
      <c r="O35" s="5" t="s">
        <v>118</v>
      </c>
      <c r="P35" s="4" t="s">
        <v>23</v>
      </c>
      <c r="Q35" s="4">
        <v>3</v>
      </c>
    </row>
    <row r="36" spans="1:18" s="4" customFormat="1">
      <c r="A36" s="4" t="s">
        <v>119</v>
      </c>
      <c r="B36" s="4" t="s">
        <v>18</v>
      </c>
      <c r="C36" s="4" t="s">
        <v>99</v>
      </c>
      <c r="D36" s="4" t="s">
        <v>20</v>
      </c>
      <c r="E36" s="4" t="s">
        <v>113</v>
      </c>
      <c r="F36" s="4" t="s">
        <v>114</v>
      </c>
      <c r="G36" s="4" t="s">
        <v>25</v>
      </c>
      <c r="H36" s="4" t="s">
        <v>23</v>
      </c>
      <c r="I36" s="4" t="s">
        <v>23</v>
      </c>
      <c r="J36" s="4" t="s">
        <v>115</v>
      </c>
      <c r="K36" s="4" t="s">
        <v>23</v>
      </c>
      <c r="N36" s="4" t="s">
        <v>28</v>
      </c>
      <c r="O36" s="5" t="s">
        <v>120</v>
      </c>
      <c r="P36" s="4" t="s">
        <v>23</v>
      </c>
      <c r="Q36" s="4">
        <v>3</v>
      </c>
    </row>
    <row r="37" spans="1:18" s="4" customFormat="1">
      <c r="A37" s="4" t="s">
        <v>121</v>
      </c>
      <c r="B37" s="4" t="s">
        <v>18</v>
      </c>
      <c r="C37" s="4" t="s">
        <v>99</v>
      </c>
      <c r="D37" s="4" t="s">
        <v>20</v>
      </c>
      <c r="E37" s="4" t="s">
        <v>113</v>
      </c>
      <c r="F37" s="4" t="s">
        <v>114</v>
      </c>
      <c r="G37" s="4" t="s">
        <v>25</v>
      </c>
      <c r="H37" s="4" t="s">
        <v>23</v>
      </c>
      <c r="I37" s="4" t="s">
        <v>23</v>
      </c>
      <c r="J37" s="4" t="s">
        <v>115</v>
      </c>
      <c r="K37" s="4" t="s">
        <v>23</v>
      </c>
      <c r="N37" s="4" t="s">
        <v>28</v>
      </c>
      <c r="O37" s="5" t="s">
        <v>122</v>
      </c>
      <c r="P37" s="4" t="s">
        <v>23</v>
      </c>
      <c r="Q37" s="4">
        <v>3</v>
      </c>
    </row>
    <row r="38" spans="1:18" s="4" customFormat="1">
      <c r="A38" s="4" t="s">
        <v>123</v>
      </c>
      <c r="B38" s="4" t="s">
        <v>18</v>
      </c>
      <c r="C38" s="4" t="s">
        <v>99</v>
      </c>
      <c r="D38" s="4" t="s">
        <v>20</v>
      </c>
      <c r="E38" s="4" t="s">
        <v>113</v>
      </c>
      <c r="F38" s="4" t="s">
        <v>114</v>
      </c>
      <c r="G38" s="4" t="s">
        <v>25</v>
      </c>
      <c r="H38" s="4" t="s">
        <v>23</v>
      </c>
      <c r="I38" s="4" t="s">
        <v>23</v>
      </c>
      <c r="J38" s="4" t="s">
        <v>115</v>
      </c>
      <c r="K38" s="4" t="s">
        <v>23</v>
      </c>
      <c r="N38" s="4" t="s">
        <v>28</v>
      </c>
      <c r="O38" s="5" t="s">
        <v>124</v>
      </c>
      <c r="P38" s="4" t="s">
        <v>23</v>
      </c>
      <c r="Q38" s="4">
        <v>3</v>
      </c>
    </row>
    <row r="39" spans="1:18" s="4" customFormat="1">
      <c r="A39" s="4" t="s">
        <v>125</v>
      </c>
      <c r="B39" s="4" t="s">
        <v>18</v>
      </c>
      <c r="C39" s="4" t="s">
        <v>99</v>
      </c>
      <c r="D39" s="4" t="s">
        <v>20</v>
      </c>
      <c r="E39" s="4" t="s">
        <v>113</v>
      </c>
      <c r="F39" s="4" t="s">
        <v>114</v>
      </c>
      <c r="G39" s="4" t="s">
        <v>25</v>
      </c>
      <c r="H39" s="4" t="s">
        <v>23</v>
      </c>
      <c r="I39" s="4" t="s">
        <v>23</v>
      </c>
      <c r="J39" s="4" t="s">
        <v>115</v>
      </c>
      <c r="K39" s="4" t="s">
        <v>23</v>
      </c>
      <c r="N39" s="4" t="s">
        <v>28</v>
      </c>
      <c r="O39" s="5" t="s">
        <v>126</v>
      </c>
      <c r="P39" s="4" t="s">
        <v>23</v>
      </c>
      <c r="Q39" s="4">
        <v>3</v>
      </c>
    </row>
    <row r="40" spans="1:18" s="4" customFormat="1">
      <c r="A40" s="4" t="s">
        <v>127</v>
      </c>
      <c r="B40" s="4" t="s">
        <v>18</v>
      </c>
      <c r="C40" s="4" t="s">
        <v>99</v>
      </c>
      <c r="D40" s="4" t="s">
        <v>20</v>
      </c>
      <c r="E40" s="4" t="s">
        <v>113</v>
      </c>
      <c r="F40" s="4" t="s">
        <v>114</v>
      </c>
      <c r="G40" s="4" t="s">
        <v>25</v>
      </c>
      <c r="H40" s="4" t="s">
        <v>23</v>
      </c>
      <c r="I40" s="4" t="s">
        <v>23</v>
      </c>
      <c r="J40" s="4" t="s">
        <v>115</v>
      </c>
      <c r="K40" s="4" t="s">
        <v>23</v>
      </c>
      <c r="N40" s="4" t="s">
        <v>28</v>
      </c>
      <c r="O40" s="5" t="s">
        <v>128</v>
      </c>
      <c r="P40" s="4" t="s">
        <v>23</v>
      </c>
      <c r="Q40" s="4">
        <v>3</v>
      </c>
    </row>
    <row r="41" spans="1:18" s="4" customFormat="1">
      <c r="A41" s="4" t="s">
        <v>129</v>
      </c>
      <c r="B41" s="4" t="s">
        <v>18</v>
      </c>
      <c r="C41" s="4" t="s">
        <v>99</v>
      </c>
      <c r="D41" s="4" t="s">
        <v>20</v>
      </c>
      <c r="E41" s="4" t="s">
        <v>113</v>
      </c>
      <c r="F41" s="4" t="s">
        <v>114</v>
      </c>
      <c r="G41" s="4" t="s">
        <v>25</v>
      </c>
      <c r="H41" s="4" t="s">
        <v>23</v>
      </c>
      <c r="I41" s="4" t="s">
        <v>23</v>
      </c>
      <c r="J41" s="4" t="s">
        <v>115</v>
      </c>
      <c r="K41" s="4" t="s">
        <v>23</v>
      </c>
      <c r="N41" s="4" t="s">
        <v>28</v>
      </c>
      <c r="O41" s="5" t="s">
        <v>130</v>
      </c>
      <c r="P41" s="4" t="s">
        <v>23</v>
      </c>
      <c r="Q41" s="4">
        <v>3</v>
      </c>
    </row>
    <row r="42" spans="1:18" s="4" customFormat="1">
      <c r="A42" s="4" t="s">
        <v>131</v>
      </c>
      <c r="B42" s="4" t="s">
        <v>18</v>
      </c>
      <c r="C42" s="4" t="s">
        <v>99</v>
      </c>
      <c r="D42" s="4" t="s">
        <v>20</v>
      </c>
      <c r="E42" s="4" t="s">
        <v>113</v>
      </c>
      <c r="F42" s="4" t="s">
        <v>114</v>
      </c>
      <c r="G42" s="4" t="s">
        <v>25</v>
      </c>
      <c r="H42" s="4" t="s">
        <v>23</v>
      </c>
      <c r="I42" s="4" t="s">
        <v>23</v>
      </c>
      <c r="J42" s="4" t="s">
        <v>115</v>
      </c>
      <c r="K42" s="4" t="s">
        <v>23</v>
      </c>
      <c r="N42" s="4" t="s">
        <v>28</v>
      </c>
      <c r="O42" s="5" t="s">
        <v>132</v>
      </c>
      <c r="P42" s="4" t="s">
        <v>23</v>
      </c>
      <c r="Q42" s="4">
        <v>3</v>
      </c>
    </row>
    <row r="43" spans="1:18" s="4" customFormat="1">
      <c r="A43" s="4" t="s">
        <v>133</v>
      </c>
      <c r="B43" s="4" t="s">
        <v>18</v>
      </c>
      <c r="C43" s="4" t="s">
        <v>99</v>
      </c>
      <c r="D43" s="4" t="s">
        <v>20</v>
      </c>
      <c r="E43" s="4" t="s">
        <v>113</v>
      </c>
      <c r="F43" s="4" t="s">
        <v>114</v>
      </c>
      <c r="G43" s="4" t="s">
        <v>25</v>
      </c>
      <c r="H43" s="4" t="s">
        <v>23</v>
      </c>
      <c r="I43" s="4" t="s">
        <v>23</v>
      </c>
      <c r="J43" s="4" t="s">
        <v>115</v>
      </c>
      <c r="K43" s="4" t="s">
        <v>23</v>
      </c>
      <c r="N43" s="4" t="s">
        <v>28</v>
      </c>
      <c r="O43" s="5" t="s">
        <v>134</v>
      </c>
      <c r="P43" s="4" t="s">
        <v>23</v>
      </c>
      <c r="Q43" s="4">
        <v>3</v>
      </c>
    </row>
    <row r="44" spans="1:18" s="4" customFormat="1">
      <c r="A44" s="4" t="s">
        <v>135</v>
      </c>
      <c r="B44" s="4" t="s">
        <v>18</v>
      </c>
      <c r="C44" s="4" t="s">
        <v>99</v>
      </c>
      <c r="D44" s="4" t="s">
        <v>20</v>
      </c>
      <c r="E44" s="4" t="s">
        <v>113</v>
      </c>
      <c r="F44" s="4" t="s">
        <v>114</v>
      </c>
      <c r="G44" s="4" t="s">
        <v>25</v>
      </c>
      <c r="H44" s="4" t="s">
        <v>23</v>
      </c>
      <c r="I44" s="4" t="s">
        <v>23</v>
      </c>
      <c r="J44" s="4" t="s">
        <v>115</v>
      </c>
      <c r="K44" s="4" t="s">
        <v>23</v>
      </c>
      <c r="N44" s="4" t="s">
        <v>28</v>
      </c>
      <c r="O44" s="5" t="s">
        <v>136</v>
      </c>
      <c r="P44" s="4" t="s">
        <v>23</v>
      </c>
      <c r="Q44" s="4">
        <v>3</v>
      </c>
    </row>
    <row r="45" spans="1:18" s="4" customFormat="1">
      <c r="A45" s="4" t="s">
        <v>137</v>
      </c>
      <c r="B45" s="4" t="s">
        <v>18</v>
      </c>
      <c r="C45" s="4" t="s">
        <v>99</v>
      </c>
      <c r="D45" s="4" t="s">
        <v>20</v>
      </c>
      <c r="E45" s="4" t="s">
        <v>113</v>
      </c>
      <c r="F45" s="4" t="s">
        <v>114</v>
      </c>
      <c r="G45" s="4" t="s">
        <v>25</v>
      </c>
      <c r="H45" s="4" t="s">
        <v>23</v>
      </c>
      <c r="I45" s="4" t="s">
        <v>23</v>
      </c>
      <c r="J45" s="4" t="s">
        <v>45</v>
      </c>
      <c r="K45" s="4" t="s">
        <v>23</v>
      </c>
      <c r="N45" s="4" t="s">
        <v>40</v>
      </c>
      <c r="O45" s="5" t="s">
        <v>138</v>
      </c>
      <c r="Q45" s="4">
        <v>0</v>
      </c>
    </row>
    <row r="46" spans="1:18" s="4" customFormat="1">
      <c r="A46" s="4" t="s">
        <v>139</v>
      </c>
      <c r="B46" s="4" t="s">
        <v>18</v>
      </c>
      <c r="C46" s="4" t="s">
        <v>140</v>
      </c>
      <c r="D46" s="4" t="s">
        <v>59</v>
      </c>
      <c r="E46" s="4" t="s">
        <v>44</v>
      </c>
      <c r="F46" s="4" t="s">
        <v>101</v>
      </c>
      <c r="G46" s="4" t="s">
        <v>23</v>
      </c>
      <c r="H46" s="4" t="s">
        <v>23</v>
      </c>
      <c r="I46" s="4" t="s">
        <v>23</v>
      </c>
      <c r="J46" s="4" t="s">
        <v>45</v>
      </c>
      <c r="K46" s="4" t="s">
        <v>25</v>
      </c>
      <c r="L46" s="4" t="s">
        <v>141</v>
      </c>
      <c r="M46" s="4" t="s">
        <v>54</v>
      </c>
      <c r="N46" s="4" t="s">
        <v>33</v>
      </c>
      <c r="O46" s="5" t="s">
        <v>142</v>
      </c>
      <c r="P46" s="4" t="s">
        <v>23</v>
      </c>
      <c r="Q46" s="4">
        <v>3</v>
      </c>
    </row>
    <row r="47" spans="1:18" s="4" customFormat="1">
      <c r="A47" s="4" t="s">
        <v>143</v>
      </c>
      <c r="B47" s="4" t="s">
        <v>18</v>
      </c>
      <c r="C47" s="4" t="s">
        <v>43</v>
      </c>
      <c r="D47" s="4" t="s">
        <v>59</v>
      </c>
      <c r="E47" s="4" t="s">
        <v>44</v>
      </c>
      <c r="F47" s="4" t="s">
        <v>101</v>
      </c>
      <c r="G47" s="4" t="s">
        <v>23</v>
      </c>
      <c r="H47" s="4" t="s">
        <v>23</v>
      </c>
      <c r="I47" s="4" t="s">
        <v>23</v>
      </c>
      <c r="J47" s="4" t="s">
        <v>45</v>
      </c>
      <c r="K47" s="4" t="s">
        <v>23</v>
      </c>
      <c r="M47" s="4" t="s">
        <v>54</v>
      </c>
      <c r="N47" s="4" t="s">
        <v>33</v>
      </c>
      <c r="O47" s="5" t="s">
        <v>144</v>
      </c>
      <c r="P47" s="4" t="s">
        <v>23</v>
      </c>
      <c r="Q47" s="4">
        <v>3</v>
      </c>
    </row>
    <row r="48" spans="1:18">
      <c r="A48" s="4" t="s">
        <v>145</v>
      </c>
      <c r="B48" s="4" t="s">
        <v>18</v>
      </c>
      <c r="C48" s="4" t="s">
        <v>43</v>
      </c>
      <c r="D48" s="4" t="s">
        <v>59</v>
      </c>
      <c r="E48" s="4" t="s">
        <v>44</v>
      </c>
      <c r="F48" s="4" t="s">
        <v>101</v>
      </c>
      <c r="G48" s="4" t="s">
        <v>23</v>
      </c>
      <c r="H48" s="4" t="s">
        <v>23</v>
      </c>
      <c r="I48" s="4" t="s">
        <v>23</v>
      </c>
      <c r="J48" s="4" t="s">
        <v>45</v>
      </c>
      <c r="K48" s="4" t="s">
        <v>25</v>
      </c>
      <c r="L48" s="4" t="s">
        <v>141</v>
      </c>
      <c r="M48" s="4" t="s">
        <v>54</v>
      </c>
      <c r="N48" s="4" t="s">
        <v>33</v>
      </c>
      <c r="O48" s="5" t="s">
        <v>146</v>
      </c>
      <c r="P48" s="4" t="s">
        <v>23</v>
      </c>
      <c r="Q48" s="4">
        <v>3</v>
      </c>
      <c r="R48" s="4"/>
    </row>
    <row r="49" spans="1:18" s="4" customFormat="1">
      <c r="A49" s="4" t="s">
        <v>147</v>
      </c>
      <c r="B49" s="4" t="s">
        <v>18</v>
      </c>
      <c r="C49" s="4" t="s">
        <v>43</v>
      </c>
      <c r="D49" s="4" t="s">
        <v>59</v>
      </c>
      <c r="E49" s="4" t="s">
        <v>44</v>
      </c>
      <c r="F49" s="4" t="s">
        <v>101</v>
      </c>
      <c r="G49" s="4" t="s">
        <v>23</v>
      </c>
      <c r="H49" s="4" t="s">
        <v>23</v>
      </c>
      <c r="I49" s="4" t="s">
        <v>23</v>
      </c>
      <c r="J49" s="4" t="s">
        <v>45</v>
      </c>
      <c r="K49" s="4" t="s">
        <v>25</v>
      </c>
      <c r="L49" s="4" t="s">
        <v>148</v>
      </c>
      <c r="M49" s="4" t="s">
        <v>54</v>
      </c>
      <c r="N49" s="4" t="s">
        <v>33</v>
      </c>
      <c r="O49" s="5" t="s">
        <v>149</v>
      </c>
      <c r="P49" s="4" t="s">
        <v>23</v>
      </c>
      <c r="Q49" s="4">
        <v>3</v>
      </c>
    </row>
    <row r="50" spans="1:18" s="4" customFormat="1">
      <c r="A50" s="4" t="s">
        <v>150</v>
      </c>
      <c r="B50" s="4" t="s">
        <v>18</v>
      </c>
      <c r="C50" s="4" t="s">
        <v>35</v>
      </c>
      <c r="D50" s="4" t="s">
        <v>59</v>
      </c>
      <c r="E50" s="4" t="s">
        <v>44</v>
      </c>
      <c r="F50" s="4" t="s">
        <v>101</v>
      </c>
      <c r="G50" s="4" t="s">
        <v>23</v>
      </c>
      <c r="H50" s="4" t="s">
        <v>23</v>
      </c>
      <c r="I50" s="4" t="s">
        <v>23</v>
      </c>
      <c r="J50" s="4" t="s">
        <v>45</v>
      </c>
      <c r="K50" s="4" t="s">
        <v>23</v>
      </c>
      <c r="M50" s="4" t="s">
        <v>27</v>
      </c>
      <c r="N50" s="4" t="s">
        <v>33</v>
      </c>
      <c r="O50" s="5" t="s">
        <v>151</v>
      </c>
      <c r="P50" s="4" t="s">
        <v>23</v>
      </c>
      <c r="Q50" s="4">
        <v>3</v>
      </c>
    </row>
    <row r="51" spans="1:18">
      <c r="A51" s="4" t="s">
        <v>152</v>
      </c>
      <c r="B51" s="4" t="s">
        <v>18</v>
      </c>
      <c r="C51" s="4" t="s">
        <v>43</v>
      </c>
      <c r="D51" s="4" t="s">
        <v>59</v>
      </c>
      <c r="E51" s="4" t="s">
        <v>51</v>
      </c>
      <c r="F51" s="4" t="s">
        <v>101</v>
      </c>
      <c r="G51" s="4" t="s">
        <v>23</v>
      </c>
      <c r="H51" s="4" t="s">
        <v>23</v>
      </c>
      <c r="I51" s="4" t="s">
        <v>23</v>
      </c>
      <c r="J51" s="4" t="s">
        <v>52</v>
      </c>
      <c r="K51" s="4" t="s">
        <v>25</v>
      </c>
      <c r="L51" s="4" t="s">
        <v>153</v>
      </c>
      <c r="M51" s="4" t="s">
        <v>54</v>
      </c>
      <c r="N51" s="4" t="s">
        <v>33</v>
      </c>
      <c r="O51" s="5" t="s">
        <v>154</v>
      </c>
      <c r="P51" s="4" t="s">
        <v>23</v>
      </c>
      <c r="Q51" s="4">
        <v>3</v>
      </c>
      <c r="R51" s="4"/>
    </row>
    <row r="52" spans="1:18" s="4" customFormat="1">
      <c r="A52" s="4" t="s">
        <v>155</v>
      </c>
      <c r="B52" s="4" t="s">
        <v>18</v>
      </c>
      <c r="C52" s="4" t="s">
        <v>35</v>
      </c>
      <c r="D52" s="4" t="s">
        <v>59</v>
      </c>
      <c r="E52" s="4" t="s">
        <v>19</v>
      </c>
      <c r="F52" s="4" t="s">
        <v>101</v>
      </c>
      <c r="G52" s="4" t="s">
        <v>23</v>
      </c>
      <c r="H52" s="4" t="s">
        <v>23</v>
      </c>
      <c r="I52" s="4" t="s">
        <v>23</v>
      </c>
      <c r="J52" s="4" t="s">
        <v>45</v>
      </c>
      <c r="K52" s="4" t="s">
        <v>23</v>
      </c>
      <c r="L52" s="4" t="s">
        <v>141</v>
      </c>
      <c r="M52" s="4" t="s">
        <v>27</v>
      </c>
      <c r="N52" s="4" t="s">
        <v>40</v>
      </c>
      <c r="O52" s="5" t="s">
        <v>156</v>
      </c>
      <c r="P52" s="4" t="s">
        <v>23</v>
      </c>
      <c r="Q52" s="4">
        <v>3</v>
      </c>
    </row>
    <row r="53" spans="1:18" s="4" customFormat="1">
      <c r="A53" s="4" t="s">
        <v>157</v>
      </c>
      <c r="B53" s="4" t="s">
        <v>18</v>
      </c>
      <c r="C53" s="4" t="s">
        <v>35</v>
      </c>
      <c r="D53" s="4" t="s">
        <v>59</v>
      </c>
      <c r="E53" s="4" t="s">
        <v>19</v>
      </c>
      <c r="F53" s="4" t="s">
        <v>101</v>
      </c>
      <c r="G53" s="4" t="s">
        <v>23</v>
      </c>
      <c r="H53" s="4" t="s">
        <v>23</v>
      </c>
      <c r="I53" s="4" t="s">
        <v>23</v>
      </c>
      <c r="J53" s="4" t="s">
        <v>45</v>
      </c>
      <c r="K53" s="4" t="s">
        <v>23</v>
      </c>
      <c r="M53" s="4" t="s">
        <v>27</v>
      </c>
      <c r="N53" s="4" t="s">
        <v>40</v>
      </c>
      <c r="O53" s="5" t="s">
        <v>158</v>
      </c>
      <c r="P53" s="4" t="s">
        <v>23</v>
      </c>
      <c r="Q53" s="4">
        <v>3</v>
      </c>
    </row>
    <row r="54" spans="1:18">
      <c r="A54" t="s">
        <v>159</v>
      </c>
      <c r="B54" t="s">
        <v>31</v>
      </c>
      <c r="C54" t="s">
        <v>35</v>
      </c>
      <c r="D54" t="s">
        <v>20</v>
      </c>
      <c r="G54" t="s">
        <v>25</v>
      </c>
      <c r="M54" t="s">
        <v>27</v>
      </c>
      <c r="N54" t="s">
        <v>40</v>
      </c>
    </row>
    <row r="55" spans="1:18">
      <c r="A55" t="s">
        <v>160</v>
      </c>
      <c r="B55" t="s">
        <v>31</v>
      </c>
      <c r="C55" t="s">
        <v>19</v>
      </c>
      <c r="D55" t="s">
        <v>20</v>
      </c>
      <c r="G55" t="s">
        <v>23</v>
      </c>
      <c r="M55" t="s">
        <v>27</v>
      </c>
      <c r="N55" t="s">
        <v>40</v>
      </c>
    </row>
    <row r="56" spans="1:18">
      <c r="A56" t="s">
        <v>161</v>
      </c>
      <c r="B56" t="s">
        <v>31</v>
      </c>
      <c r="C56" t="s">
        <v>19</v>
      </c>
      <c r="D56" t="s">
        <v>20</v>
      </c>
      <c r="G56" t="s">
        <v>23</v>
      </c>
      <c r="M56" t="s">
        <v>27</v>
      </c>
      <c r="N56" t="s">
        <v>40</v>
      </c>
    </row>
    <row r="57" spans="1:18">
      <c r="A57" t="s">
        <v>162</v>
      </c>
      <c r="B57" t="s">
        <v>31</v>
      </c>
      <c r="C57" t="s">
        <v>19</v>
      </c>
      <c r="D57" t="s">
        <v>20</v>
      </c>
      <c r="G57" t="s">
        <v>23</v>
      </c>
      <c r="M57" t="s">
        <v>27</v>
      </c>
      <c r="N57" t="s">
        <v>106</v>
      </c>
    </row>
    <row r="58" spans="1:18">
      <c r="A58" t="s">
        <v>163</v>
      </c>
      <c r="B58" t="s">
        <v>31</v>
      </c>
      <c r="C58" t="s">
        <v>19</v>
      </c>
      <c r="D58" t="s">
        <v>20</v>
      </c>
      <c r="G58" t="s">
        <v>25</v>
      </c>
      <c r="M58" t="s">
        <v>27</v>
      </c>
      <c r="N58" t="s">
        <v>40</v>
      </c>
    </row>
    <row r="59" spans="1:18" s="4" customFormat="1">
      <c r="A59" s="4" t="s">
        <v>164</v>
      </c>
      <c r="B59" s="4" t="s">
        <v>18</v>
      </c>
      <c r="C59" s="4" t="s">
        <v>19</v>
      </c>
      <c r="D59" s="4" t="s">
        <v>59</v>
      </c>
      <c r="E59" s="4" t="s">
        <v>19</v>
      </c>
      <c r="F59" s="4" t="s">
        <v>101</v>
      </c>
      <c r="G59" s="4" t="s">
        <v>23</v>
      </c>
      <c r="H59" s="4" t="s">
        <v>23</v>
      </c>
      <c r="I59" s="4" t="s">
        <v>23</v>
      </c>
      <c r="J59" s="4" t="s">
        <v>165</v>
      </c>
      <c r="K59" s="4" t="s">
        <v>23</v>
      </c>
      <c r="M59" s="4" t="s">
        <v>27</v>
      </c>
      <c r="N59" s="4" t="s">
        <v>40</v>
      </c>
      <c r="O59" s="5" t="s">
        <v>166</v>
      </c>
      <c r="P59" s="4" t="s">
        <v>23</v>
      </c>
      <c r="Q59" s="4">
        <v>3</v>
      </c>
    </row>
    <row r="60" spans="1:18" s="4" customFormat="1">
      <c r="A60" s="4" t="s">
        <v>167</v>
      </c>
      <c r="B60" s="4" t="s">
        <v>18</v>
      </c>
      <c r="C60" s="4" t="s">
        <v>19</v>
      </c>
      <c r="D60" s="4" t="s">
        <v>59</v>
      </c>
      <c r="E60" s="4" t="s">
        <v>19</v>
      </c>
      <c r="F60" s="4" t="s">
        <v>101</v>
      </c>
      <c r="G60" s="4" t="s">
        <v>23</v>
      </c>
      <c r="H60" s="4" t="s">
        <v>23</v>
      </c>
      <c r="I60" s="4" t="s">
        <v>23</v>
      </c>
      <c r="J60" s="4" t="s">
        <v>45</v>
      </c>
      <c r="K60" s="4" t="s">
        <v>23</v>
      </c>
      <c r="M60" s="4" t="s">
        <v>54</v>
      </c>
      <c r="N60" s="4" t="s">
        <v>28</v>
      </c>
      <c r="O60" s="5" t="s">
        <v>168</v>
      </c>
      <c r="P60" s="4" t="s">
        <v>23</v>
      </c>
      <c r="Q60" s="4">
        <v>3</v>
      </c>
    </row>
    <row r="61" spans="1:18" s="4" customFormat="1">
      <c r="A61" s="4" t="s">
        <v>169</v>
      </c>
      <c r="B61" s="4" t="s">
        <v>18</v>
      </c>
      <c r="C61" s="4" t="s">
        <v>19</v>
      </c>
      <c r="D61" s="4" t="s">
        <v>59</v>
      </c>
      <c r="E61" s="4" t="s">
        <v>19</v>
      </c>
      <c r="F61" s="4" t="s">
        <v>101</v>
      </c>
      <c r="G61" s="4" t="s">
        <v>23</v>
      </c>
      <c r="H61" s="4" t="s">
        <v>23</v>
      </c>
      <c r="I61" s="4" t="s">
        <v>23</v>
      </c>
      <c r="J61" s="4" t="s">
        <v>45</v>
      </c>
      <c r="K61" s="4" t="s">
        <v>25</v>
      </c>
      <c r="M61" s="4" t="s">
        <v>54</v>
      </c>
      <c r="N61" s="4" t="s">
        <v>64</v>
      </c>
      <c r="O61" s="5" t="s">
        <v>170</v>
      </c>
      <c r="P61" s="4" t="s">
        <v>23</v>
      </c>
      <c r="Q61" s="4">
        <v>3</v>
      </c>
    </row>
    <row r="62" spans="1:18" s="4" customFormat="1">
      <c r="A62" s="4" t="s">
        <v>171</v>
      </c>
      <c r="B62" s="4" t="s">
        <v>18</v>
      </c>
      <c r="C62" s="4" t="s">
        <v>35</v>
      </c>
      <c r="D62" s="4" t="s">
        <v>59</v>
      </c>
      <c r="E62" s="4" t="s">
        <v>19</v>
      </c>
      <c r="F62" s="4" t="s">
        <v>101</v>
      </c>
      <c r="G62" s="4" t="s">
        <v>23</v>
      </c>
      <c r="H62" s="4" t="s">
        <v>23</v>
      </c>
      <c r="I62" s="4" t="s">
        <v>23</v>
      </c>
      <c r="J62" s="4" t="s">
        <v>45</v>
      </c>
      <c r="K62" s="4" t="s">
        <v>25</v>
      </c>
      <c r="L62" s="4" t="s">
        <v>153</v>
      </c>
      <c r="M62" s="4" t="s">
        <v>54</v>
      </c>
      <c r="N62" s="4" t="s">
        <v>28</v>
      </c>
      <c r="O62" s="5" t="s">
        <v>172</v>
      </c>
      <c r="P62" s="4" t="s">
        <v>23</v>
      </c>
      <c r="Q62" s="4">
        <v>3</v>
      </c>
    </row>
    <row r="63" spans="1:18" s="4" customFormat="1">
      <c r="A63" s="4" t="s">
        <v>173</v>
      </c>
      <c r="B63" s="4" t="s">
        <v>18</v>
      </c>
      <c r="C63" s="4" t="s">
        <v>19</v>
      </c>
      <c r="D63" s="4" t="s">
        <v>59</v>
      </c>
      <c r="E63" s="4" t="s">
        <v>19</v>
      </c>
      <c r="F63" s="4" t="s">
        <v>101</v>
      </c>
      <c r="G63" s="4" t="s">
        <v>23</v>
      </c>
      <c r="H63" s="4" t="s">
        <v>23</v>
      </c>
      <c r="I63" s="4" t="s">
        <v>23</v>
      </c>
      <c r="J63" s="4" t="s">
        <v>45</v>
      </c>
      <c r="K63" s="4" t="s">
        <v>23</v>
      </c>
      <c r="M63" s="4" t="s">
        <v>54</v>
      </c>
      <c r="N63" s="4" t="s">
        <v>28</v>
      </c>
      <c r="O63" s="5" t="s">
        <v>174</v>
      </c>
      <c r="P63" s="4" t="s">
        <v>23</v>
      </c>
      <c r="Q63" s="4">
        <v>3</v>
      </c>
    </row>
    <row r="64" spans="1:18" s="4" customFormat="1">
      <c r="A64" s="4" t="s">
        <v>175</v>
      </c>
      <c r="B64" s="4" t="s">
        <v>18</v>
      </c>
      <c r="C64" s="4" t="s">
        <v>19</v>
      </c>
      <c r="D64" s="4" t="s">
        <v>59</v>
      </c>
      <c r="E64" s="4" t="s">
        <v>19</v>
      </c>
      <c r="F64" s="4" t="s">
        <v>101</v>
      </c>
      <c r="G64" s="4" t="s">
        <v>23</v>
      </c>
      <c r="H64" s="4" t="s">
        <v>23</v>
      </c>
      <c r="I64" s="4" t="s">
        <v>23</v>
      </c>
      <c r="J64" s="4" t="s">
        <v>45</v>
      </c>
      <c r="K64" s="4" t="s">
        <v>23</v>
      </c>
      <c r="L64" s="4" t="s">
        <v>39</v>
      </c>
      <c r="N64" s="4" t="s">
        <v>28</v>
      </c>
      <c r="O64" s="5" t="s">
        <v>176</v>
      </c>
      <c r="P64" s="4" t="s">
        <v>23</v>
      </c>
      <c r="Q64" s="4">
        <v>3</v>
      </c>
    </row>
    <row r="65" spans="1:18">
      <c r="A65" s="4" t="s">
        <v>177</v>
      </c>
      <c r="B65" s="4" t="s">
        <v>18</v>
      </c>
      <c r="C65" s="4" t="s">
        <v>35</v>
      </c>
      <c r="D65" s="4" t="s">
        <v>178</v>
      </c>
      <c r="E65" s="4" t="s">
        <v>37</v>
      </c>
      <c r="F65" s="4" t="s">
        <v>101</v>
      </c>
      <c r="G65" s="4" t="s">
        <v>23</v>
      </c>
      <c r="H65" s="4" t="s">
        <v>23</v>
      </c>
      <c r="I65" s="4" t="s">
        <v>23</v>
      </c>
      <c r="J65" s="4" t="s">
        <v>179</v>
      </c>
      <c r="K65" s="4" t="s">
        <v>25</v>
      </c>
      <c r="L65" s="4" t="s">
        <v>180</v>
      </c>
      <c r="M65" s="4" t="s">
        <v>103</v>
      </c>
      <c r="N65" s="4" t="s">
        <v>40</v>
      </c>
      <c r="O65" s="5" t="s">
        <v>181</v>
      </c>
      <c r="P65" s="4" t="s">
        <v>23</v>
      </c>
      <c r="Q65" s="4">
        <v>3</v>
      </c>
      <c r="R65" s="4"/>
    </row>
    <row r="66" spans="1:18" s="4" customFormat="1">
      <c r="A66" s="4" t="s">
        <v>182</v>
      </c>
      <c r="B66" s="4" t="s">
        <v>18</v>
      </c>
      <c r="C66" s="4" t="s">
        <v>35</v>
      </c>
      <c r="D66" s="4" t="s">
        <v>59</v>
      </c>
      <c r="E66" s="4" t="s">
        <v>37</v>
      </c>
      <c r="F66" s="4" t="s">
        <v>101</v>
      </c>
      <c r="G66" s="4" t="s">
        <v>23</v>
      </c>
      <c r="H66" s="4" t="s">
        <v>23</v>
      </c>
      <c r="I66" s="4" t="s">
        <v>23</v>
      </c>
      <c r="J66" s="4" t="s">
        <v>45</v>
      </c>
      <c r="K66" s="4" t="s">
        <v>23</v>
      </c>
      <c r="L66" s="4" t="s">
        <v>183</v>
      </c>
      <c r="M66" s="4" t="s">
        <v>27</v>
      </c>
      <c r="N66" s="4" t="s">
        <v>28</v>
      </c>
      <c r="O66" s="5" t="s">
        <v>184</v>
      </c>
      <c r="P66" s="4" t="s">
        <v>23</v>
      </c>
      <c r="Q66" s="4">
        <v>3</v>
      </c>
    </row>
    <row r="67" spans="1:18">
      <c r="A67" t="s">
        <v>185</v>
      </c>
      <c r="B67" t="s">
        <v>31</v>
      </c>
      <c r="C67" t="s">
        <v>35</v>
      </c>
      <c r="D67" t="s">
        <v>186</v>
      </c>
      <c r="G67" t="s">
        <v>25</v>
      </c>
      <c r="M67" t="s">
        <v>27</v>
      </c>
      <c r="N67" t="s">
        <v>40</v>
      </c>
    </row>
    <row r="68" spans="1:18">
      <c r="A68" t="s">
        <v>187</v>
      </c>
      <c r="B68" t="s">
        <v>31</v>
      </c>
      <c r="C68" t="s">
        <v>35</v>
      </c>
      <c r="D68" t="s">
        <v>188</v>
      </c>
      <c r="G68" t="s">
        <v>25</v>
      </c>
      <c r="M68" t="s">
        <v>27</v>
      </c>
      <c r="N68" t="s">
        <v>40</v>
      </c>
    </row>
    <row r="69" spans="1:18">
      <c r="A69" t="s">
        <v>189</v>
      </c>
      <c r="B69" t="s">
        <v>31</v>
      </c>
      <c r="C69" t="s">
        <v>19</v>
      </c>
      <c r="D69" t="s">
        <v>20</v>
      </c>
      <c r="G69" t="s">
        <v>23</v>
      </c>
      <c r="M69" t="s">
        <v>27</v>
      </c>
      <c r="N69" t="s">
        <v>40</v>
      </c>
    </row>
    <row r="70" spans="1:18" s="4" customFormat="1">
      <c r="A70" s="4" t="s">
        <v>190</v>
      </c>
      <c r="B70" s="4" t="s">
        <v>18</v>
      </c>
      <c r="C70" s="4" t="s">
        <v>140</v>
      </c>
      <c r="D70" s="4" t="s">
        <v>178</v>
      </c>
      <c r="E70" s="4" t="s">
        <v>191</v>
      </c>
      <c r="F70" s="4" t="s">
        <v>101</v>
      </c>
      <c r="G70" s="4" t="s">
        <v>23</v>
      </c>
      <c r="H70" s="4" t="s">
        <v>23</v>
      </c>
      <c r="I70" s="4" t="s">
        <v>23</v>
      </c>
      <c r="J70" s="4" t="s">
        <v>45</v>
      </c>
      <c r="K70" s="4" t="s">
        <v>23</v>
      </c>
      <c r="M70" s="4" t="s">
        <v>27</v>
      </c>
      <c r="N70" s="4" t="s">
        <v>106</v>
      </c>
      <c r="O70" s="5" t="s">
        <v>192</v>
      </c>
      <c r="P70" s="4" t="s">
        <v>23</v>
      </c>
      <c r="Q70" s="4">
        <v>3</v>
      </c>
    </row>
    <row r="71" spans="1:18" s="7" customFormat="1">
      <c r="A71" s="7" t="s">
        <v>193</v>
      </c>
      <c r="B71" s="7" t="s">
        <v>18</v>
      </c>
      <c r="C71" s="7" t="s">
        <v>140</v>
      </c>
      <c r="D71" s="7" t="s">
        <v>59</v>
      </c>
      <c r="E71" s="7" t="s">
        <v>191</v>
      </c>
      <c r="F71" s="7" t="s">
        <v>101</v>
      </c>
      <c r="G71" s="7" t="s">
        <v>25</v>
      </c>
      <c r="H71" s="7" t="s">
        <v>23</v>
      </c>
      <c r="I71" s="7" t="s">
        <v>23</v>
      </c>
      <c r="J71" s="7" t="s">
        <v>45</v>
      </c>
      <c r="K71" s="7" t="s">
        <v>23</v>
      </c>
      <c r="M71" s="7" t="s">
        <v>27</v>
      </c>
      <c r="N71" s="7" t="s">
        <v>106</v>
      </c>
      <c r="O71" s="16" t="s">
        <v>194</v>
      </c>
      <c r="P71" s="7" t="s">
        <v>25</v>
      </c>
      <c r="Q71" s="7">
        <v>3</v>
      </c>
      <c r="R71" s="7" t="s">
        <v>195</v>
      </c>
    </row>
    <row r="72" spans="1:18" s="4" customFormat="1">
      <c r="A72" s="4" t="s">
        <v>196</v>
      </c>
      <c r="B72" s="4" t="s">
        <v>18</v>
      </c>
      <c r="C72" s="4" t="s">
        <v>32</v>
      </c>
      <c r="D72" s="4" t="s">
        <v>178</v>
      </c>
      <c r="E72" s="4" t="s">
        <v>32</v>
      </c>
      <c r="F72" s="4" t="s">
        <v>101</v>
      </c>
      <c r="G72" s="4" t="s">
        <v>23</v>
      </c>
      <c r="H72" s="4" t="s">
        <v>23</v>
      </c>
      <c r="I72" s="4" t="s">
        <v>23</v>
      </c>
      <c r="J72" s="4" t="s">
        <v>197</v>
      </c>
      <c r="K72" s="4" t="s">
        <v>25</v>
      </c>
      <c r="L72" s="4" t="s">
        <v>198</v>
      </c>
      <c r="M72" s="4" t="s">
        <v>103</v>
      </c>
      <c r="N72" s="4" t="s">
        <v>33</v>
      </c>
      <c r="O72" s="5" t="s">
        <v>199</v>
      </c>
      <c r="P72" s="4" t="s">
        <v>23</v>
      </c>
      <c r="Q72" s="4">
        <v>3</v>
      </c>
    </row>
    <row r="73" spans="1:18" s="4" customFormat="1">
      <c r="A73" s="4" t="s">
        <v>200</v>
      </c>
      <c r="B73" s="4" t="s">
        <v>18</v>
      </c>
      <c r="C73" s="4" t="s">
        <v>32</v>
      </c>
      <c r="D73" s="4" t="s">
        <v>59</v>
      </c>
      <c r="E73" s="4" t="s">
        <v>32</v>
      </c>
      <c r="F73" s="4" t="s">
        <v>101</v>
      </c>
      <c r="G73" s="4" t="s">
        <v>23</v>
      </c>
      <c r="H73" s="4" t="s">
        <v>23</v>
      </c>
      <c r="I73" s="4" t="s">
        <v>23</v>
      </c>
      <c r="J73" s="4" t="s">
        <v>45</v>
      </c>
      <c r="K73" s="4" t="s">
        <v>25</v>
      </c>
      <c r="L73" s="4" t="s">
        <v>201</v>
      </c>
      <c r="M73" s="4" t="s">
        <v>54</v>
      </c>
      <c r="N73" s="4" t="s">
        <v>28</v>
      </c>
      <c r="Q73" s="4">
        <v>3</v>
      </c>
    </row>
    <row r="74" spans="1:18" s="4" customFormat="1">
      <c r="A74" s="4" t="s">
        <v>202</v>
      </c>
      <c r="B74" s="4" t="s">
        <v>18</v>
      </c>
      <c r="C74" s="4" t="s">
        <v>35</v>
      </c>
      <c r="D74" s="4" t="s">
        <v>59</v>
      </c>
      <c r="E74" s="4" t="s">
        <v>88</v>
      </c>
      <c r="F74" s="4" t="s">
        <v>101</v>
      </c>
      <c r="G74" s="4" t="s">
        <v>23</v>
      </c>
      <c r="H74" s="4" t="s">
        <v>23</v>
      </c>
      <c r="I74" s="4" t="s">
        <v>23</v>
      </c>
      <c r="J74" s="4" t="s">
        <v>203</v>
      </c>
      <c r="K74" s="4" t="s">
        <v>25</v>
      </c>
      <c r="M74" s="4" t="s">
        <v>27</v>
      </c>
      <c r="N74" s="4" t="s">
        <v>40</v>
      </c>
      <c r="P74" s="4" t="s">
        <v>25</v>
      </c>
      <c r="Q74" s="4">
        <v>3</v>
      </c>
    </row>
    <row r="75" spans="1:18" s="4" customFormat="1">
      <c r="A75" s="4" t="s">
        <v>204</v>
      </c>
      <c r="B75" s="4" t="s">
        <v>18</v>
      </c>
      <c r="C75" s="4" t="s">
        <v>35</v>
      </c>
      <c r="D75" s="4" t="s">
        <v>59</v>
      </c>
      <c r="E75" s="4" t="s">
        <v>88</v>
      </c>
      <c r="F75" s="4" t="s">
        <v>101</v>
      </c>
      <c r="G75" s="4" t="s">
        <v>23</v>
      </c>
      <c r="H75" s="4" t="s">
        <v>23</v>
      </c>
      <c r="I75" s="4" t="s">
        <v>23</v>
      </c>
      <c r="J75" s="4" t="s">
        <v>203</v>
      </c>
      <c r="K75" s="4" t="s">
        <v>25</v>
      </c>
      <c r="M75" s="4" t="s">
        <v>27</v>
      </c>
      <c r="N75" s="4" t="s">
        <v>40</v>
      </c>
      <c r="P75" s="4" t="s">
        <v>25</v>
      </c>
      <c r="Q75" s="4">
        <v>3</v>
      </c>
    </row>
    <row r="76" spans="1:18">
      <c r="A76" s="4" t="s">
        <v>205</v>
      </c>
      <c r="B76" s="4" t="s">
        <v>18</v>
      </c>
      <c r="C76" s="4" t="s">
        <v>35</v>
      </c>
      <c r="D76" s="4" t="s">
        <v>178</v>
      </c>
      <c r="E76" s="4" t="s">
        <v>88</v>
      </c>
      <c r="F76" s="4" t="s">
        <v>101</v>
      </c>
      <c r="G76" s="4" t="s">
        <v>23</v>
      </c>
      <c r="H76" s="4" t="s">
        <v>23</v>
      </c>
      <c r="I76" s="4" t="s">
        <v>23</v>
      </c>
      <c r="J76" s="4" t="s">
        <v>45</v>
      </c>
      <c r="K76" s="4" t="s">
        <v>23</v>
      </c>
      <c r="L76" s="4" t="s">
        <v>206</v>
      </c>
      <c r="M76" s="4" t="s">
        <v>54</v>
      </c>
      <c r="N76" s="4" t="s">
        <v>106</v>
      </c>
      <c r="O76" s="5" t="s">
        <v>207</v>
      </c>
      <c r="P76" s="4" t="s">
        <v>23</v>
      </c>
      <c r="Q76" s="4">
        <v>3</v>
      </c>
      <c r="R76" s="4"/>
    </row>
    <row r="77" spans="1:18" s="4" customFormat="1">
      <c r="A77" s="4" t="s">
        <v>208</v>
      </c>
      <c r="B77" s="4" t="s">
        <v>18</v>
      </c>
      <c r="C77" s="4" t="s">
        <v>43</v>
      </c>
      <c r="D77" s="4" t="s">
        <v>59</v>
      </c>
      <c r="E77" s="4" t="s">
        <v>88</v>
      </c>
      <c r="F77" s="4" t="s">
        <v>101</v>
      </c>
      <c r="G77" s="4" t="s">
        <v>23</v>
      </c>
      <c r="H77" s="4" t="s">
        <v>23</v>
      </c>
      <c r="I77" s="4" t="s">
        <v>23</v>
      </c>
      <c r="J77" s="4" t="s">
        <v>45</v>
      </c>
      <c r="K77" s="4" t="s">
        <v>25</v>
      </c>
      <c r="M77" s="4" t="s">
        <v>54</v>
      </c>
      <c r="N77" s="4" t="s">
        <v>64</v>
      </c>
      <c r="O77" s="5" t="s">
        <v>209</v>
      </c>
      <c r="P77" s="4" t="s">
        <v>23</v>
      </c>
      <c r="Q77" s="4">
        <v>3</v>
      </c>
    </row>
    <row r="78" spans="1:18" s="4" customFormat="1">
      <c r="A78" s="4" t="s">
        <v>210</v>
      </c>
      <c r="B78" s="4" t="s">
        <v>18</v>
      </c>
      <c r="C78" s="4" t="s">
        <v>35</v>
      </c>
      <c r="D78" s="4" t="s">
        <v>59</v>
      </c>
      <c r="E78" s="4" t="s">
        <v>88</v>
      </c>
      <c r="F78" s="4" t="s">
        <v>101</v>
      </c>
      <c r="G78" s="4" t="s">
        <v>23</v>
      </c>
      <c r="H78" s="4" t="s">
        <v>23</v>
      </c>
      <c r="I78" s="4" t="s">
        <v>23</v>
      </c>
      <c r="J78" s="4" t="s">
        <v>45</v>
      </c>
      <c r="K78" s="4" t="s">
        <v>23</v>
      </c>
      <c r="L78" s="4" t="s">
        <v>211</v>
      </c>
      <c r="M78" s="4" t="s">
        <v>27</v>
      </c>
      <c r="N78" s="4" t="s">
        <v>106</v>
      </c>
      <c r="O78" s="5" t="s">
        <v>212</v>
      </c>
      <c r="Q78" s="4">
        <v>3</v>
      </c>
    </row>
    <row r="79" spans="1:18">
      <c r="A79" s="4" t="s">
        <v>213</v>
      </c>
      <c r="B79" s="4" t="s">
        <v>18</v>
      </c>
      <c r="C79" s="4" t="s">
        <v>43</v>
      </c>
      <c r="D79" s="4" t="s">
        <v>59</v>
      </c>
      <c r="E79" s="4" t="s">
        <v>88</v>
      </c>
      <c r="F79" s="4" t="s">
        <v>101</v>
      </c>
      <c r="G79" s="4" t="s">
        <v>23</v>
      </c>
      <c r="H79" s="4" t="s">
        <v>23</v>
      </c>
      <c r="I79" s="4" t="s">
        <v>23</v>
      </c>
      <c r="J79" s="4" t="s">
        <v>214</v>
      </c>
      <c r="K79" s="4" t="s">
        <v>23</v>
      </c>
      <c r="L79" s="4"/>
      <c r="M79" s="4" t="s">
        <v>27</v>
      </c>
      <c r="N79" s="4" t="s">
        <v>28</v>
      </c>
      <c r="O79" s="4"/>
      <c r="P79" s="4"/>
      <c r="Q79" s="4">
        <v>3</v>
      </c>
      <c r="R79" s="4"/>
    </row>
    <row r="80" spans="1:18" s="4" customFormat="1">
      <c r="A80" s="4" t="s">
        <v>215</v>
      </c>
      <c r="B80" s="4" t="s">
        <v>18</v>
      </c>
      <c r="C80" s="4" t="s">
        <v>99</v>
      </c>
      <c r="D80" s="4" t="s">
        <v>36</v>
      </c>
      <c r="E80" s="4" t="s">
        <v>216</v>
      </c>
      <c r="F80" s="4" t="s">
        <v>114</v>
      </c>
      <c r="G80" s="4" t="s">
        <v>25</v>
      </c>
      <c r="H80" s="4" t="s">
        <v>23</v>
      </c>
      <c r="I80" s="4" t="s">
        <v>23</v>
      </c>
      <c r="J80" s="4" t="s">
        <v>217</v>
      </c>
      <c r="K80" s="4" t="s">
        <v>23</v>
      </c>
      <c r="M80" s="4" t="s">
        <v>47</v>
      </c>
      <c r="P80" s="4" t="s">
        <v>23</v>
      </c>
      <c r="Q80" s="4">
        <v>3</v>
      </c>
    </row>
    <row r="81" spans="1:17" s="4" customFormat="1">
      <c r="A81" s="4" t="s">
        <v>218</v>
      </c>
      <c r="B81" s="4" t="s">
        <v>18</v>
      </c>
      <c r="C81" s="4" t="s">
        <v>99</v>
      </c>
      <c r="D81" s="4" t="s">
        <v>36</v>
      </c>
      <c r="E81" s="4" t="s">
        <v>216</v>
      </c>
      <c r="F81" s="4" t="s">
        <v>114</v>
      </c>
      <c r="G81" s="4" t="s">
        <v>25</v>
      </c>
      <c r="H81" s="4" t="s">
        <v>23</v>
      </c>
      <c r="I81" s="4" t="s">
        <v>23</v>
      </c>
      <c r="J81" s="4" t="s">
        <v>217</v>
      </c>
      <c r="K81" s="4" t="s">
        <v>23</v>
      </c>
      <c r="M81" s="4" t="s">
        <v>47</v>
      </c>
      <c r="P81" s="4" t="s">
        <v>23</v>
      </c>
      <c r="Q81" s="4">
        <v>3</v>
      </c>
    </row>
    <row r="82" spans="1:17" s="4" customFormat="1">
      <c r="A82" s="4" t="s">
        <v>219</v>
      </c>
      <c r="B82" s="4" t="s">
        <v>18</v>
      </c>
      <c r="C82" s="4" t="s">
        <v>99</v>
      </c>
      <c r="D82" s="4" t="s">
        <v>36</v>
      </c>
      <c r="E82" s="4" t="s">
        <v>216</v>
      </c>
      <c r="F82" s="4" t="s">
        <v>114</v>
      </c>
      <c r="G82" s="4" t="s">
        <v>25</v>
      </c>
      <c r="H82" s="4" t="s">
        <v>23</v>
      </c>
      <c r="I82" s="4" t="s">
        <v>23</v>
      </c>
      <c r="J82" s="4" t="s">
        <v>217</v>
      </c>
      <c r="K82" s="4" t="s">
        <v>23</v>
      </c>
      <c r="M82" s="4" t="s">
        <v>47</v>
      </c>
      <c r="P82" s="4" t="s">
        <v>23</v>
      </c>
      <c r="Q82" s="4">
        <v>3</v>
      </c>
    </row>
    <row r="83" spans="1:17" s="4" customFormat="1">
      <c r="A83" s="4" t="s">
        <v>220</v>
      </c>
      <c r="B83" s="4" t="s">
        <v>18</v>
      </c>
      <c r="C83" s="4" t="s">
        <v>99</v>
      </c>
      <c r="D83" s="4" t="s">
        <v>36</v>
      </c>
      <c r="E83" s="4" t="s">
        <v>216</v>
      </c>
      <c r="F83" s="4" t="s">
        <v>114</v>
      </c>
      <c r="G83" s="4" t="s">
        <v>25</v>
      </c>
      <c r="H83" s="4" t="s">
        <v>23</v>
      </c>
      <c r="I83" s="4" t="s">
        <v>23</v>
      </c>
      <c r="J83" s="4" t="s">
        <v>217</v>
      </c>
      <c r="K83" s="4" t="s">
        <v>23</v>
      </c>
      <c r="M83" s="4" t="s">
        <v>47</v>
      </c>
      <c r="P83" s="4" t="s">
        <v>23</v>
      </c>
      <c r="Q83" s="4">
        <v>3</v>
      </c>
    </row>
    <row r="84" spans="1:17" s="4" customFormat="1">
      <c r="A84" s="4" t="s">
        <v>221</v>
      </c>
      <c r="B84" s="4" t="s">
        <v>18</v>
      </c>
      <c r="C84" s="4" t="s">
        <v>99</v>
      </c>
      <c r="D84" s="4" t="s">
        <v>36</v>
      </c>
      <c r="E84" s="4" t="s">
        <v>216</v>
      </c>
      <c r="F84" s="4" t="s">
        <v>114</v>
      </c>
      <c r="G84" s="4" t="s">
        <v>25</v>
      </c>
      <c r="H84" s="4" t="s">
        <v>23</v>
      </c>
      <c r="I84" s="4" t="s">
        <v>23</v>
      </c>
      <c r="J84" s="4" t="s">
        <v>217</v>
      </c>
      <c r="K84" s="4" t="s">
        <v>23</v>
      </c>
      <c r="M84" s="4" t="s">
        <v>47</v>
      </c>
      <c r="P84" s="4" t="s">
        <v>23</v>
      </c>
      <c r="Q84" s="4">
        <v>3</v>
      </c>
    </row>
    <row r="85" spans="1:17" s="4" customFormat="1">
      <c r="A85" s="4" t="s">
        <v>222</v>
      </c>
      <c r="B85" s="4" t="s">
        <v>18</v>
      </c>
      <c r="C85" s="4" t="s">
        <v>99</v>
      </c>
      <c r="D85" s="4" t="s">
        <v>36</v>
      </c>
      <c r="E85" s="4" t="s">
        <v>216</v>
      </c>
      <c r="F85" s="4" t="s">
        <v>114</v>
      </c>
      <c r="G85" s="4" t="s">
        <v>25</v>
      </c>
      <c r="H85" s="4" t="s">
        <v>23</v>
      </c>
      <c r="I85" s="4" t="s">
        <v>23</v>
      </c>
      <c r="J85" s="4" t="s">
        <v>217</v>
      </c>
      <c r="K85" s="4" t="s">
        <v>23</v>
      </c>
      <c r="M85" s="4" t="s">
        <v>47</v>
      </c>
      <c r="P85" s="4" t="s">
        <v>23</v>
      </c>
      <c r="Q85" s="4">
        <v>3</v>
      </c>
    </row>
    <row r="86" spans="1:17">
      <c r="A86" t="s">
        <v>223</v>
      </c>
      <c r="B86" t="s">
        <v>31</v>
      </c>
      <c r="C86" t="s">
        <v>35</v>
      </c>
      <c r="D86" t="s">
        <v>36</v>
      </c>
      <c r="G86" t="s">
        <v>25</v>
      </c>
      <c r="H86" t="s">
        <v>23</v>
      </c>
      <c r="M86" t="s">
        <v>27</v>
      </c>
      <c r="N86" t="s">
        <v>40</v>
      </c>
    </row>
    <row r="87" spans="1:17">
      <c r="A87" t="s">
        <v>224</v>
      </c>
      <c r="B87" t="s">
        <v>31</v>
      </c>
      <c r="C87" t="s">
        <v>35</v>
      </c>
      <c r="D87" t="s">
        <v>36</v>
      </c>
      <c r="G87" t="s">
        <v>25</v>
      </c>
      <c r="H87" t="s">
        <v>23</v>
      </c>
      <c r="M87" t="s">
        <v>54</v>
      </c>
      <c r="N87" t="s">
        <v>28</v>
      </c>
    </row>
    <row r="88" spans="1:17">
      <c r="A88" t="s">
        <v>225</v>
      </c>
      <c r="B88" t="s">
        <v>31</v>
      </c>
      <c r="C88" t="s">
        <v>35</v>
      </c>
      <c r="D88" t="s">
        <v>36</v>
      </c>
      <c r="G88" t="s">
        <v>25</v>
      </c>
      <c r="H88" t="s">
        <v>23</v>
      </c>
      <c r="M88" t="s">
        <v>54</v>
      </c>
      <c r="N88" t="s">
        <v>33</v>
      </c>
    </row>
    <row r="89" spans="1:17">
      <c r="A89" t="s">
        <v>226</v>
      </c>
      <c r="B89" t="s">
        <v>31</v>
      </c>
      <c r="C89" t="s">
        <v>35</v>
      </c>
      <c r="D89" t="s">
        <v>36</v>
      </c>
      <c r="G89" t="s">
        <v>25</v>
      </c>
      <c r="H89" t="s">
        <v>23</v>
      </c>
      <c r="M89" t="s">
        <v>54</v>
      </c>
      <c r="N89" t="s">
        <v>64</v>
      </c>
    </row>
    <row r="90" spans="1:17">
      <c r="A90" t="s">
        <v>227</v>
      </c>
      <c r="B90" t="s">
        <v>31</v>
      </c>
      <c r="C90" t="s">
        <v>35</v>
      </c>
      <c r="D90" t="s">
        <v>36</v>
      </c>
      <c r="G90" t="s">
        <v>25</v>
      </c>
      <c r="H90" t="s">
        <v>23</v>
      </c>
      <c r="N90" t="s">
        <v>28</v>
      </c>
    </row>
    <row r="91" spans="1:17">
      <c r="A91" t="s">
        <v>228</v>
      </c>
      <c r="B91" t="s">
        <v>31</v>
      </c>
      <c r="C91" t="s">
        <v>35</v>
      </c>
      <c r="D91" t="s">
        <v>36</v>
      </c>
      <c r="G91" t="s">
        <v>25</v>
      </c>
      <c r="H91" t="s">
        <v>23</v>
      </c>
      <c r="M91" t="s">
        <v>47</v>
      </c>
      <c r="N91" t="s">
        <v>33</v>
      </c>
    </row>
    <row r="92" spans="1:17">
      <c r="A92" t="s">
        <v>229</v>
      </c>
      <c r="B92" t="s">
        <v>31</v>
      </c>
      <c r="C92" t="s">
        <v>35</v>
      </c>
      <c r="D92" t="s">
        <v>36</v>
      </c>
      <c r="G92" t="s">
        <v>25</v>
      </c>
      <c r="H92" t="s">
        <v>23</v>
      </c>
      <c r="M92" t="s">
        <v>54</v>
      </c>
      <c r="N92" t="s">
        <v>33</v>
      </c>
    </row>
    <row r="93" spans="1:17">
      <c r="A93" t="s">
        <v>230</v>
      </c>
      <c r="B93" t="s">
        <v>31</v>
      </c>
      <c r="C93" t="s">
        <v>35</v>
      </c>
      <c r="D93" t="s">
        <v>36</v>
      </c>
      <c r="G93" t="s">
        <v>25</v>
      </c>
      <c r="H93" t="s">
        <v>23</v>
      </c>
      <c r="M93" t="s">
        <v>54</v>
      </c>
      <c r="N93" t="s">
        <v>28</v>
      </c>
    </row>
    <row r="94" spans="1:17">
      <c r="A94" t="s">
        <v>231</v>
      </c>
      <c r="B94" t="s">
        <v>31</v>
      </c>
      <c r="C94" t="s">
        <v>35</v>
      </c>
      <c r="D94" t="s">
        <v>36</v>
      </c>
      <c r="G94" t="s">
        <v>25</v>
      </c>
      <c r="H94" t="s">
        <v>23</v>
      </c>
      <c r="N94" t="s">
        <v>64</v>
      </c>
    </row>
    <row r="95" spans="1:17">
      <c r="A95" t="s">
        <v>232</v>
      </c>
      <c r="B95" t="s">
        <v>31</v>
      </c>
      <c r="C95" t="s">
        <v>35</v>
      </c>
      <c r="D95" t="s">
        <v>36</v>
      </c>
      <c r="G95" t="s">
        <v>25</v>
      </c>
      <c r="H95" t="s">
        <v>23</v>
      </c>
      <c r="M95" t="s">
        <v>47</v>
      </c>
      <c r="N95" t="s">
        <v>33</v>
      </c>
    </row>
    <row r="96" spans="1:17">
      <c r="A96" t="s">
        <v>233</v>
      </c>
      <c r="B96" t="s">
        <v>31</v>
      </c>
      <c r="C96" t="s">
        <v>35</v>
      </c>
      <c r="D96" t="s">
        <v>36</v>
      </c>
      <c r="G96" t="s">
        <v>25</v>
      </c>
      <c r="H96" t="s">
        <v>23</v>
      </c>
      <c r="N96" t="s">
        <v>33</v>
      </c>
    </row>
    <row r="97" spans="1:17" s="4" customFormat="1">
      <c r="A97" s="4" t="s">
        <v>234</v>
      </c>
      <c r="B97" s="4" t="s">
        <v>18</v>
      </c>
      <c r="C97" s="4" t="s">
        <v>35</v>
      </c>
      <c r="D97" s="4" t="s">
        <v>20</v>
      </c>
      <c r="E97" s="4" t="s">
        <v>19</v>
      </c>
      <c r="F97" s="4" t="s">
        <v>114</v>
      </c>
      <c r="G97" s="4" t="s">
        <v>25</v>
      </c>
      <c r="H97" s="4" t="s">
        <v>23</v>
      </c>
      <c r="I97" s="4" t="s">
        <v>23</v>
      </c>
      <c r="J97" s="4" t="s">
        <v>235</v>
      </c>
      <c r="K97" s="4" t="s">
        <v>23</v>
      </c>
      <c r="M97" s="4" t="s">
        <v>47</v>
      </c>
      <c r="N97" s="4" t="s">
        <v>40</v>
      </c>
      <c r="P97" s="4" t="s">
        <v>25</v>
      </c>
      <c r="Q97" s="4">
        <v>3</v>
      </c>
    </row>
    <row r="98" spans="1:17">
      <c r="A98" t="s">
        <v>236</v>
      </c>
      <c r="B98" t="s">
        <v>31</v>
      </c>
      <c r="C98" t="s">
        <v>35</v>
      </c>
      <c r="D98" t="s">
        <v>36</v>
      </c>
      <c r="G98" t="s">
        <v>25</v>
      </c>
      <c r="H98" t="s">
        <v>23</v>
      </c>
      <c r="N98" t="s">
        <v>33</v>
      </c>
    </row>
    <row r="99" spans="1:17">
      <c r="A99" t="s">
        <v>237</v>
      </c>
      <c r="B99" t="s">
        <v>31</v>
      </c>
      <c r="C99" t="s">
        <v>35</v>
      </c>
      <c r="D99" t="s">
        <v>36</v>
      </c>
      <c r="G99" t="s">
        <v>25</v>
      </c>
      <c r="H99" t="s">
        <v>23</v>
      </c>
      <c r="N99" t="s">
        <v>40</v>
      </c>
    </row>
    <row r="100" spans="1:17">
      <c r="A100" t="s">
        <v>238</v>
      </c>
      <c r="B100" t="s">
        <v>31</v>
      </c>
      <c r="C100" t="s">
        <v>35</v>
      </c>
      <c r="D100" t="s">
        <v>36</v>
      </c>
      <c r="G100" t="s">
        <v>25</v>
      </c>
      <c r="H100" t="s">
        <v>23</v>
      </c>
      <c r="N100" t="s">
        <v>28</v>
      </c>
    </row>
    <row r="101" spans="1:17">
      <c r="A101" t="s">
        <v>239</v>
      </c>
      <c r="B101" t="s">
        <v>31</v>
      </c>
      <c r="C101" t="s">
        <v>35</v>
      </c>
      <c r="D101" t="s">
        <v>36</v>
      </c>
      <c r="G101" t="s">
        <v>25</v>
      </c>
      <c r="H101" t="s">
        <v>23</v>
      </c>
      <c r="M101" t="s">
        <v>47</v>
      </c>
      <c r="N101" t="s">
        <v>40</v>
      </c>
    </row>
    <row r="102" spans="1:17">
      <c r="A102" t="s">
        <v>240</v>
      </c>
      <c r="B102" t="s">
        <v>31</v>
      </c>
      <c r="C102" t="s">
        <v>35</v>
      </c>
      <c r="D102" t="s">
        <v>36</v>
      </c>
      <c r="G102" t="s">
        <v>25</v>
      </c>
      <c r="H102" t="s">
        <v>23</v>
      </c>
      <c r="M102" t="s">
        <v>54</v>
      </c>
      <c r="N102" t="s">
        <v>64</v>
      </c>
    </row>
    <row r="103" spans="1:17">
      <c r="A103" t="s">
        <v>241</v>
      </c>
      <c r="B103" t="s">
        <v>31</v>
      </c>
      <c r="C103" t="s">
        <v>35</v>
      </c>
      <c r="D103" t="s">
        <v>36</v>
      </c>
      <c r="G103" t="s">
        <v>25</v>
      </c>
      <c r="H103" t="s">
        <v>23</v>
      </c>
      <c r="N103" t="s">
        <v>28</v>
      </c>
    </row>
    <row r="104" spans="1:17">
      <c r="A104" t="s">
        <v>242</v>
      </c>
      <c r="B104" t="s">
        <v>31</v>
      </c>
      <c r="C104" t="s">
        <v>19</v>
      </c>
      <c r="D104" t="s">
        <v>36</v>
      </c>
      <c r="G104" t="s">
        <v>25</v>
      </c>
      <c r="H104" t="s">
        <v>23</v>
      </c>
      <c r="N104" t="s">
        <v>28</v>
      </c>
    </row>
    <row r="105" spans="1:17">
      <c r="A105" t="s">
        <v>243</v>
      </c>
      <c r="B105" t="s">
        <v>31</v>
      </c>
      <c r="C105" t="s">
        <v>19</v>
      </c>
      <c r="D105" t="s">
        <v>186</v>
      </c>
      <c r="G105" t="s">
        <v>25</v>
      </c>
      <c r="H105" t="s">
        <v>23</v>
      </c>
      <c r="N105" t="s">
        <v>28</v>
      </c>
    </row>
    <row r="106" spans="1:17">
      <c r="A106" t="s">
        <v>244</v>
      </c>
      <c r="B106" t="s">
        <v>31</v>
      </c>
      <c r="C106" t="s">
        <v>19</v>
      </c>
      <c r="D106" t="s">
        <v>36</v>
      </c>
      <c r="G106" t="s">
        <v>25</v>
      </c>
      <c r="H106" t="s">
        <v>23</v>
      </c>
      <c r="N106" t="s">
        <v>40</v>
      </c>
    </row>
    <row r="107" spans="1:17">
      <c r="A107" t="s">
        <v>245</v>
      </c>
      <c r="B107" t="s">
        <v>31</v>
      </c>
      <c r="C107" t="s">
        <v>19</v>
      </c>
      <c r="D107" t="s">
        <v>36</v>
      </c>
      <c r="G107" t="s">
        <v>25</v>
      </c>
      <c r="H107" t="s">
        <v>23</v>
      </c>
      <c r="N107" t="s">
        <v>64</v>
      </c>
    </row>
    <row r="108" spans="1:17">
      <c r="A108" t="s">
        <v>246</v>
      </c>
      <c r="B108" t="s">
        <v>31</v>
      </c>
      <c r="C108" t="s">
        <v>35</v>
      </c>
      <c r="D108" t="s">
        <v>36</v>
      </c>
      <c r="G108" t="s">
        <v>25</v>
      </c>
      <c r="H108" t="s">
        <v>23</v>
      </c>
      <c r="N108" t="s">
        <v>28</v>
      </c>
    </row>
    <row r="109" spans="1:17">
      <c r="A109" t="s">
        <v>247</v>
      </c>
      <c r="B109" t="s">
        <v>31</v>
      </c>
      <c r="C109" t="s">
        <v>35</v>
      </c>
      <c r="D109" t="s">
        <v>36</v>
      </c>
      <c r="G109" t="s">
        <v>25</v>
      </c>
      <c r="H109" t="s">
        <v>23</v>
      </c>
      <c r="M109" t="s">
        <v>27</v>
      </c>
      <c r="N109" t="s">
        <v>40</v>
      </c>
    </row>
    <row r="110" spans="1:17">
      <c r="A110" t="s">
        <v>248</v>
      </c>
      <c r="B110" t="s">
        <v>31</v>
      </c>
      <c r="C110" t="s">
        <v>35</v>
      </c>
      <c r="D110" t="s">
        <v>36</v>
      </c>
      <c r="G110" t="s">
        <v>25</v>
      </c>
      <c r="H110" t="s">
        <v>23</v>
      </c>
      <c r="M110" t="s">
        <v>27</v>
      </c>
      <c r="N110" t="s">
        <v>33</v>
      </c>
    </row>
    <row r="111" spans="1:17">
      <c r="A111" t="s">
        <v>249</v>
      </c>
      <c r="B111" t="s">
        <v>31</v>
      </c>
      <c r="C111" t="s">
        <v>35</v>
      </c>
      <c r="D111" t="s">
        <v>36</v>
      </c>
      <c r="G111" t="s">
        <v>25</v>
      </c>
      <c r="H111" t="s">
        <v>23</v>
      </c>
      <c r="M111" t="s">
        <v>27</v>
      </c>
      <c r="N111" t="s">
        <v>40</v>
      </c>
    </row>
    <row r="112" spans="1:17">
      <c r="A112" t="s">
        <v>250</v>
      </c>
      <c r="B112" t="s">
        <v>31</v>
      </c>
      <c r="C112" t="s">
        <v>35</v>
      </c>
      <c r="D112" t="s">
        <v>36</v>
      </c>
      <c r="G112" t="s">
        <v>25</v>
      </c>
      <c r="H112" t="s">
        <v>23</v>
      </c>
      <c r="M112" t="s">
        <v>27</v>
      </c>
      <c r="N112" t="s">
        <v>33</v>
      </c>
    </row>
    <row r="113" spans="1:17" s="4" customFormat="1">
      <c r="A113" s="4" t="s">
        <v>251</v>
      </c>
      <c r="B113" s="4" t="s">
        <v>31</v>
      </c>
      <c r="C113" s="4" t="s">
        <v>35</v>
      </c>
      <c r="D113" s="4" t="s">
        <v>36</v>
      </c>
      <c r="E113" s="4" t="s">
        <v>44</v>
      </c>
      <c r="F113" s="4" t="s">
        <v>114</v>
      </c>
      <c r="G113" s="4" t="s">
        <v>25</v>
      </c>
      <c r="H113" s="4" t="s">
        <v>23</v>
      </c>
      <c r="I113" s="4" t="s">
        <v>23</v>
      </c>
      <c r="J113" s="4" t="s">
        <v>45</v>
      </c>
      <c r="K113" s="4" t="s">
        <v>23</v>
      </c>
      <c r="M113" s="4" t="s">
        <v>27</v>
      </c>
      <c r="N113" s="4" t="s">
        <v>33</v>
      </c>
      <c r="O113" s="5" t="s">
        <v>252</v>
      </c>
      <c r="P113" s="4" t="s">
        <v>23</v>
      </c>
      <c r="Q113" s="4">
        <v>5</v>
      </c>
    </row>
    <row r="114" spans="1:17" s="4" customFormat="1">
      <c r="A114" s="4" t="s">
        <v>253</v>
      </c>
      <c r="B114" s="4" t="s">
        <v>31</v>
      </c>
      <c r="C114" s="4" t="s">
        <v>19</v>
      </c>
      <c r="D114" s="4" t="s">
        <v>36</v>
      </c>
      <c r="E114" s="4" t="s">
        <v>37</v>
      </c>
      <c r="F114" s="4" t="s">
        <v>114</v>
      </c>
      <c r="G114" s="4" t="s">
        <v>25</v>
      </c>
      <c r="H114" s="4" t="s">
        <v>23</v>
      </c>
      <c r="I114" s="4" t="s">
        <v>23</v>
      </c>
      <c r="J114" s="4" t="s">
        <v>45</v>
      </c>
      <c r="K114" s="4" t="s">
        <v>23</v>
      </c>
      <c r="M114" s="4" t="s">
        <v>47</v>
      </c>
      <c r="N114" s="4" t="s">
        <v>28</v>
      </c>
      <c r="O114" s="5" t="s">
        <v>254</v>
      </c>
      <c r="P114" s="4" t="s">
        <v>23</v>
      </c>
      <c r="Q114" s="4">
        <v>3</v>
      </c>
    </row>
    <row r="115" spans="1:17">
      <c r="A115" t="s">
        <v>255</v>
      </c>
      <c r="B115" t="s">
        <v>31</v>
      </c>
      <c r="C115" t="s">
        <v>19</v>
      </c>
      <c r="D115" t="s">
        <v>36</v>
      </c>
      <c r="G115" t="s">
        <v>25</v>
      </c>
      <c r="H115" t="s">
        <v>23</v>
      </c>
      <c r="M115" t="s">
        <v>54</v>
      </c>
      <c r="N115" t="s">
        <v>28</v>
      </c>
    </row>
    <row r="116" spans="1:17" s="4" customFormat="1">
      <c r="A116" s="4" t="s">
        <v>256</v>
      </c>
      <c r="B116" s="4" t="s">
        <v>18</v>
      </c>
      <c r="C116" s="4" t="s">
        <v>43</v>
      </c>
      <c r="D116" s="4" t="s">
        <v>20</v>
      </c>
      <c r="E116" s="4" t="s">
        <v>88</v>
      </c>
      <c r="F116" s="4" t="s">
        <v>22</v>
      </c>
      <c r="G116" s="4" t="s">
        <v>23</v>
      </c>
      <c r="H116" s="4" t="s">
        <v>23</v>
      </c>
      <c r="I116" s="4" t="s">
        <v>25</v>
      </c>
      <c r="J116" s="4" t="s">
        <v>45</v>
      </c>
      <c r="K116" s="4" t="s">
        <v>23</v>
      </c>
      <c r="M116" s="4" t="s">
        <v>47</v>
      </c>
      <c r="N116" s="4" t="s">
        <v>106</v>
      </c>
      <c r="O116" s="3" t="s">
        <v>257</v>
      </c>
      <c r="P116" s="4" t="s">
        <v>23</v>
      </c>
      <c r="Q116" s="4">
        <v>3</v>
      </c>
    </row>
    <row r="117" spans="1:17" s="4" customFormat="1">
      <c r="A117" s="4" t="s">
        <v>258</v>
      </c>
      <c r="B117" s="4" t="s">
        <v>31</v>
      </c>
      <c r="C117" s="4" t="s">
        <v>19</v>
      </c>
      <c r="D117" s="4" t="s">
        <v>36</v>
      </c>
      <c r="E117" s="4" t="s">
        <v>37</v>
      </c>
      <c r="F117" s="4" t="s">
        <v>114</v>
      </c>
      <c r="G117" s="4" t="s">
        <v>25</v>
      </c>
      <c r="H117" s="4" t="s">
        <v>23</v>
      </c>
      <c r="I117" s="4" t="s">
        <v>23</v>
      </c>
      <c r="J117" s="4" t="s">
        <v>259</v>
      </c>
      <c r="K117" s="4" t="s">
        <v>23</v>
      </c>
      <c r="M117" s="4" t="s">
        <v>47</v>
      </c>
      <c r="N117" s="4" t="s">
        <v>28</v>
      </c>
      <c r="O117" s="5" t="s">
        <v>260</v>
      </c>
      <c r="P117" s="4" t="s">
        <v>23</v>
      </c>
      <c r="Q117" s="4">
        <v>2</v>
      </c>
    </row>
    <row r="118" spans="1:17" s="4" customFormat="1">
      <c r="A118" s="4" t="s">
        <v>261</v>
      </c>
      <c r="B118" s="4" t="s">
        <v>18</v>
      </c>
      <c r="C118" s="4" t="s">
        <v>35</v>
      </c>
      <c r="D118" s="4" t="s">
        <v>59</v>
      </c>
      <c r="E118" s="4" t="s">
        <v>44</v>
      </c>
      <c r="F118" s="4" t="s">
        <v>114</v>
      </c>
      <c r="G118" s="4" t="s">
        <v>25</v>
      </c>
      <c r="H118" s="4" t="s">
        <v>23</v>
      </c>
      <c r="I118" s="4" t="s">
        <v>23</v>
      </c>
      <c r="J118" s="4" t="s">
        <v>45</v>
      </c>
      <c r="K118" s="4" t="s">
        <v>23</v>
      </c>
      <c r="M118" s="4" t="s">
        <v>27</v>
      </c>
      <c r="N118" s="4" t="s">
        <v>33</v>
      </c>
      <c r="O118" s="5" t="s">
        <v>262</v>
      </c>
      <c r="P118" s="4" t="s">
        <v>23</v>
      </c>
      <c r="Q118" s="4">
        <v>3</v>
      </c>
    </row>
    <row r="119" spans="1:17" s="4" customFormat="1">
      <c r="A119" s="4" t="s">
        <v>263</v>
      </c>
      <c r="B119" s="4" t="s">
        <v>18</v>
      </c>
      <c r="C119" s="4" t="s">
        <v>43</v>
      </c>
      <c r="D119" s="4" t="s">
        <v>59</v>
      </c>
      <c r="E119" s="4" t="s">
        <v>32</v>
      </c>
      <c r="F119" s="4" t="s">
        <v>101</v>
      </c>
      <c r="G119" s="4" t="s">
        <v>25</v>
      </c>
      <c r="H119" s="4" t="s">
        <v>23</v>
      </c>
      <c r="I119" s="4" t="s">
        <v>23</v>
      </c>
      <c r="J119" s="4" t="s">
        <v>45</v>
      </c>
      <c r="K119" s="4" t="s">
        <v>25</v>
      </c>
      <c r="M119" s="4" t="s">
        <v>54</v>
      </c>
      <c r="N119" s="4" t="s">
        <v>85</v>
      </c>
      <c r="O119" s="5" t="s">
        <v>264</v>
      </c>
      <c r="P119" s="4" t="s">
        <v>25</v>
      </c>
      <c r="Q119" s="4">
        <v>3</v>
      </c>
    </row>
    <row r="120" spans="1:17" s="4" customFormat="1">
      <c r="A120" s="4" t="s">
        <v>265</v>
      </c>
      <c r="B120" s="4" t="s">
        <v>18</v>
      </c>
      <c r="C120" s="4" t="s">
        <v>35</v>
      </c>
      <c r="D120" s="4" t="s">
        <v>36</v>
      </c>
      <c r="E120" s="4" t="s">
        <v>37</v>
      </c>
      <c r="F120" s="4" t="s">
        <v>114</v>
      </c>
      <c r="G120" s="4" t="s">
        <v>25</v>
      </c>
      <c r="H120" s="4" t="s">
        <v>23</v>
      </c>
      <c r="I120" s="4" t="s">
        <v>23</v>
      </c>
      <c r="J120" s="4" t="s">
        <v>45</v>
      </c>
      <c r="K120" s="4" t="s">
        <v>23</v>
      </c>
      <c r="M120" s="4" t="s">
        <v>47</v>
      </c>
      <c r="N120" s="4" t="s">
        <v>28</v>
      </c>
      <c r="O120" s="5" t="s">
        <v>266</v>
      </c>
      <c r="P120" s="4" t="s">
        <v>23</v>
      </c>
      <c r="Q120" s="4">
        <v>3</v>
      </c>
    </row>
    <row r="121" spans="1:17">
      <c r="A121" t="s">
        <v>267</v>
      </c>
      <c r="B121" t="s">
        <v>31</v>
      </c>
      <c r="C121" t="s">
        <v>35</v>
      </c>
      <c r="D121" t="s">
        <v>36</v>
      </c>
      <c r="G121" t="s">
        <v>25</v>
      </c>
      <c r="H121" t="s">
        <v>25</v>
      </c>
      <c r="N121" t="s">
        <v>28</v>
      </c>
    </row>
    <row r="122" spans="1:17">
      <c r="A122" t="s">
        <v>268</v>
      </c>
      <c r="B122" t="s">
        <v>31</v>
      </c>
      <c r="C122" t="s">
        <v>35</v>
      </c>
      <c r="D122" t="s">
        <v>36</v>
      </c>
      <c r="G122" t="s">
        <v>25</v>
      </c>
      <c r="H122" t="s">
        <v>25</v>
      </c>
      <c r="N122" t="s">
        <v>28</v>
      </c>
    </row>
    <row r="123" spans="1:17">
      <c r="A123" t="s">
        <v>269</v>
      </c>
      <c r="B123" t="s">
        <v>31</v>
      </c>
      <c r="C123" t="s">
        <v>35</v>
      </c>
      <c r="D123" t="s">
        <v>36</v>
      </c>
      <c r="G123" t="s">
        <v>25</v>
      </c>
      <c r="H123" t="s">
        <v>25</v>
      </c>
      <c r="N123" t="s">
        <v>33</v>
      </c>
    </row>
    <row r="124" spans="1:17">
      <c r="A124" t="s">
        <v>270</v>
      </c>
      <c r="B124" t="s">
        <v>31</v>
      </c>
      <c r="C124" t="s">
        <v>35</v>
      </c>
      <c r="D124" t="s">
        <v>36</v>
      </c>
      <c r="G124" t="s">
        <v>25</v>
      </c>
      <c r="H124" t="s">
        <v>25</v>
      </c>
      <c r="N124" t="s">
        <v>64</v>
      </c>
    </row>
    <row r="125" spans="1:17">
      <c r="A125" t="s">
        <v>271</v>
      </c>
      <c r="B125" t="s">
        <v>31</v>
      </c>
      <c r="C125" t="s">
        <v>35</v>
      </c>
      <c r="D125" t="s">
        <v>36</v>
      </c>
      <c r="G125" t="s">
        <v>25</v>
      </c>
      <c r="H125" t="s">
        <v>25</v>
      </c>
      <c r="M125" t="s">
        <v>27</v>
      </c>
      <c r="N125" t="s">
        <v>40</v>
      </c>
    </row>
    <row r="126" spans="1:17">
      <c r="A126" t="s">
        <v>272</v>
      </c>
      <c r="B126" t="s">
        <v>31</v>
      </c>
      <c r="C126" t="s">
        <v>35</v>
      </c>
      <c r="D126" t="s">
        <v>36</v>
      </c>
      <c r="G126" t="s">
        <v>25</v>
      </c>
      <c r="H126" t="s">
        <v>25</v>
      </c>
      <c r="M126" t="s">
        <v>27</v>
      </c>
      <c r="N126" t="s">
        <v>28</v>
      </c>
    </row>
    <row r="127" spans="1:17">
      <c r="A127" t="s">
        <v>273</v>
      </c>
      <c r="B127" t="s">
        <v>31</v>
      </c>
      <c r="C127" t="s">
        <v>35</v>
      </c>
      <c r="D127" t="s">
        <v>36</v>
      </c>
      <c r="G127" t="s">
        <v>25</v>
      </c>
      <c r="H127" t="s">
        <v>25</v>
      </c>
      <c r="M127" t="s">
        <v>47</v>
      </c>
      <c r="N127" t="s">
        <v>40</v>
      </c>
    </row>
    <row r="128" spans="1:17" s="4" customFormat="1">
      <c r="A128" s="4" t="s">
        <v>274</v>
      </c>
      <c r="B128" s="4" t="s">
        <v>18</v>
      </c>
      <c r="C128" s="4" t="s">
        <v>35</v>
      </c>
      <c r="D128" s="4" t="s">
        <v>36</v>
      </c>
      <c r="E128" s="4" t="s">
        <v>44</v>
      </c>
      <c r="F128" s="4" t="s">
        <v>114</v>
      </c>
      <c r="G128" s="4" t="s">
        <v>25</v>
      </c>
      <c r="H128" s="4" t="s">
        <v>23</v>
      </c>
      <c r="I128" s="4" t="s">
        <v>23</v>
      </c>
      <c r="J128" s="4" t="s">
        <v>45</v>
      </c>
      <c r="K128" s="4" t="s">
        <v>25</v>
      </c>
      <c r="M128" s="4" t="s">
        <v>54</v>
      </c>
      <c r="N128" s="4" t="s">
        <v>33</v>
      </c>
      <c r="O128" s="5" t="s">
        <v>275</v>
      </c>
      <c r="P128" s="4" t="s">
        <v>23</v>
      </c>
      <c r="Q128" s="4">
        <v>3</v>
      </c>
    </row>
    <row r="129" spans="1:14">
      <c r="A129" t="s">
        <v>276</v>
      </c>
      <c r="B129" t="s">
        <v>18</v>
      </c>
      <c r="C129" t="s">
        <v>35</v>
      </c>
      <c r="D129" t="s">
        <v>36</v>
      </c>
      <c r="G129" t="s">
        <v>25</v>
      </c>
      <c r="H129" t="s">
        <v>23</v>
      </c>
      <c r="M129" t="s">
        <v>103</v>
      </c>
      <c r="N129" t="s">
        <v>85</v>
      </c>
    </row>
    <row r="130" spans="1:14">
      <c r="A130" t="s">
        <v>277</v>
      </c>
      <c r="B130" t="s">
        <v>31</v>
      </c>
      <c r="C130" t="s">
        <v>140</v>
      </c>
      <c r="D130" t="s">
        <v>20</v>
      </c>
      <c r="G130" t="s">
        <v>25</v>
      </c>
      <c r="H130" t="s">
        <v>25</v>
      </c>
      <c r="M130" t="s">
        <v>54</v>
      </c>
      <c r="N130" t="s">
        <v>64</v>
      </c>
    </row>
    <row r="131" spans="1:14">
      <c r="A131" t="s">
        <v>278</v>
      </c>
      <c r="B131" t="s">
        <v>31</v>
      </c>
      <c r="C131" t="s">
        <v>140</v>
      </c>
      <c r="D131" t="s">
        <v>20</v>
      </c>
      <c r="G131" t="s">
        <v>25</v>
      </c>
      <c r="H131" t="s">
        <v>25</v>
      </c>
      <c r="M131" t="s">
        <v>54</v>
      </c>
      <c r="N131" t="s">
        <v>64</v>
      </c>
    </row>
    <row r="132" spans="1:14">
      <c r="A132" t="s">
        <v>279</v>
      </c>
      <c r="B132" t="s">
        <v>31</v>
      </c>
      <c r="C132" t="s">
        <v>140</v>
      </c>
      <c r="D132" t="s">
        <v>20</v>
      </c>
      <c r="G132" t="s">
        <v>25</v>
      </c>
      <c r="H132" t="s">
        <v>25</v>
      </c>
      <c r="M132" t="s">
        <v>54</v>
      </c>
      <c r="N132" t="s">
        <v>64</v>
      </c>
    </row>
    <row r="133" spans="1:14">
      <c r="A133" t="s">
        <v>280</v>
      </c>
      <c r="B133" t="s">
        <v>31</v>
      </c>
      <c r="C133" t="s">
        <v>140</v>
      </c>
      <c r="D133" t="s">
        <v>20</v>
      </c>
      <c r="G133" t="s">
        <v>25</v>
      </c>
      <c r="H133" t="s">
        <v>25</v>
      </c>
      <c r="M133" t="s">
        <v>54</v>
      </c>
      <c r="N133" t="s">
        <v>64</v>
      </c>
    </row>
    <row r="134" spans="1:14">
      <c r="A134" t="s">
        <v>281</v>
      </c>
      <c r="B134" t="s">
        <v>31</v>
      </c>
      <c r="C134" t="s">
        <v>140</v>
      </c>
      <c r="D134" t="s">
        <v>20</v>
      </c>
      <c r="G134" t="s">
        <v>25</v>
      </c>
      <c r="H134" t="s">
        <v>25</v>
      </c>
      <c r="M134" t="s">
        <v>54</v>
      </c>
      <c r="N134" t="s">
        <v>64</v>
      </c>
    </row>
    <row r="135" spans="1:14">
      <c r="A135" t="s">
        <v>282</v>
      </c>
      <c r="B135" t="s">
        <v>31</v>
      </c>
      <c r="C135" t="s">
        <v>140</v>
      </c>
      <c r="D135" t="s">
        <v>20</v>
      </c>
      <c r="G135" t="s">
        <v>25</v>
      </c>
      <c r="H135" t="s">
        <v>25</v>
      </c>
      <c r="M135" t="s">
        <v>54</v>
      </c>
      <c r="N135" t="s">
        <v>64</v>
      </c>
    </row>
    <row r="136" spans="1:14">
      <c r="A136" t="s">
        <v>283</v>
      </c>
      <c r="B136" t="s">
        <v>31</v>
      </c>
      <c r="C136" t="s">
        <v>140</v>
      </c>
      <c r="D136" t="s">
        <v>20</v>
      </c>
      <c r="G136" t="s">
        <v>25</v>
      </c>
      <c r="H136" t="s">
        <v>25</v>
      </c>
      <c r="M136" t="s">
        <v>54</v>
      </c>
      <c r="N136" t="s">
        <v>64</v>
      </c>
    </row>
    <row r="137" spans="1:14">
      <c r="A137" t="s">
        <v>284</v>
      </c>
      <c r="B137" t="s">
        <v>18</v>
      </c>
      <c r="C137" t="s">
        <v>19</v>
      </c>
      <c r="D137" t="s">
        <v>20</v>
      </c>
      <c r="G137" t="s">
        <v>25</v>
      </c>
      <c r="M137" t="s">
        <v>27</v>
      </c>
      <c r="N137" t="s">
        <v>40</v>
      </c>
    </row>
    <row r="138" spans="1:14">
      <c r="A138" t="s">
        <v>285</v>
      </c>
      <c r="B138" t="s">
        <v>18</v>
      </c>
      <c r="C138" t="s">
        <v>19</v>
      </c>
      <c r="D138" t="s">
        <v>20</v>
      </c>
    </row>
    <row r="139" spans="1:14">
      <c r="A139" t="s">
        <v>286</v>
      </c>
      <c r="B139" t="s">
        <v>31</v>
      </c>
      <c r="C139" t="s">
        <v>140</v>
      </c>
      <c r="D139" t="s">
        <v>20</v>
      </c>
      <c r="G139" t="s">
        <v>25</v>
      </c>
      <c r="H139" t="s">
        <v>25</v>
      </c>
      <c r="M139" t="s">
        <v>27</v>
      </c>
      <c r="N139" t="s">
        <v>106</v>
      </c>
    </row>
    <row r="140" spans="1:14">
      <c r="A140" t="s">
        <v>287</v>
      </c>
      <c r="B140" t="s">
        <v>31</v>
      </c>
      <c r="C140" t="s">
        <v>140</v>
      </c>
      <c r="D140" t="s">
        <v>20</v>
      </c>
      <c r="G140" t="s">
        <v>25</v>
      </c>
      <c r="H140" t="s">
        <v>25</v>
      </c>
      <c r="M140" t="s">
        <v>27</v>
      </c>
      <c r="N140" t="s">
        <v>106</v>
      </c>
    </row>
    <row r="141" spans="1:14">
      <c r="A141" t="s">
        <v>288</v>
      </c>
      <c r="B141" t="s">
        <v>31</v>
      </c>
      <c r="C141" t="s">
        <v>140</v>
      </c>
      <c r="D141" t="s">
        <v>20</v>
      </c>
      <c r="G141" t="s">
        <v>25</v>
      </c>
      <c r="H141" t="s">
        <v>25</v>
      </c>
      <c r="M141" t="s">
        <v>27</v>
      </c>
      <c r="N141" t="s">
        <v>106</v>
      </c>
    </row>
    <row r="142" spans="1:14">
      <c r="A142" t="s">
        <v>289</v>
      </c>
      <c r="B142" t="s">
        <v>31</v>
      </c>
      <c r="C142" t="s">
        <v>140</v>
      </c>
      <c r="D142" t="s">
        <v>20</v>
      </c>
      <c r="G142" t="s">
        <v>25</v>
      </c>
      <c r="H142" t="s">
        <v>25</v>
      </c>
      <c r="M142" t="s">
        <v>27</v>
      </c>
      <c r="N142" t="s">
        <v>106</v>
      </c>
    </row>
    <row r="143" spans="1:14">
      <c r="A143" t="s">
        <v>290</v>
      </c>
      <c r="B143" t="s">
        <v>31</v>
      </c>
      <c r="C143" t="s">
        <v>140</v>
      </c>
      <c r="D143" t="s">
        <v>20</v>
      </c>
      <c r="G143" t="s">
        <v>25</v>
      </c>
      <c r="H143" t="s">
        <v>25</v>
      </c>
      <c r="M143" t="s">
        <v>27</v>
      </c>
      <c r="N143" t="s">
        <v>106</v>
      </c>
    </row>
    <row r="144" spans="1:14">
      <c r="A144" t="s">
        <v>291</v>
      </c>
      <c r="B144" t="s">
        <v>31</v>
      </c>
      <c r="C144" t="s">
        <v>140</v>
      </c>
      <c r="D144" t="s">
        <v>20</v>
      </c>
      <c r="G144" t="s">
        <v>25</v>
      </c>
      <c r="H144" t="s">
        <v>25</v>
      </c>
      <c r="M144" t="s">
        <v>27</v>
      </c>
      <c r="N144" t="s">
        <v>106</v>
      </c>
    </row>
    <row r="145" spans="1:14">
      <c r="A145" t="s">
        <v>292</v>
      </c>
      <c r="B145" t="s">
        <v>31</v>
      </c>
      <c r="C145" t="s">
        <v>140</v>
      </c>
      <c r="D145" t="s">
        <v>20</v>
      </c>
      <c r="G145" t="s">
        <v>25</v>
      </c>
      <c r="H145" t="s">
        <v>25</v>
      </c>
      <c r="M145" t="s">
        <v>27</v>
      </c>
      <c r="N145" t="s">
        <v>106</v>
      </c>
    </row>
    <row r="146" spans="1:14">
      <c r="A146" t="s">
        <v>293</v>
      </c>
      <c r="B146" t="s">
        <v>31</v>
      </c>
      <c r="C146" t="s">
        <v>140</v>
      </c>
      <c r="D146" t="s">
        <v>20</v>
      </c>
      <c r="G146" t="s">
        <v>25</v>
      </c>
      <c r="H146" t="s">
        <v>25</v>
      </c>
      <c r="M146" t="s">
        <v>27</v>
      </c>
      <c r="N146" t="s">
        <v>106</v>
      </c>
    </row>
    <row r="147" spans="1:14">
      <c r="A147" t="s">
        <v>294</v>
      </c>
      <c r="B147" t="s">
        <v>31</v>
      </c>
      <c r="C147" t="s">
        <v>140</v>
      </c>
      <c r="D147" t="s">
        <v>20</v>
      </c>
      <c r="G147" t="s">
        <v>25</v>
      </c>
      <c r="H147" t="s">
        <v>25</v>
      </c>
      <c r="M147" t="s">
        <v>27</v>
      </c>
      <c r="N147" t="s">
        <v>106</v>
      </c>
    </row>
    <row r="148" spans="1:14">
      <c r="A148" t="s">
        <v>295</v>
      </c>
      <c r="B148" t="s">
        <v>31</v>
      </c>
      <c r="C148" t="s">
        <v>140</v>
      </c>
      <c r="D148" t="s">
        <v>20</v>
      </c>
      <c r="G148" t="s">
        <v>25</v>
      </c>
      <c r="H148" t="s">
        <v>25</v>
      </c>
      <c r="M148" t="s">
        <v>27</v>
      </c>
      <c r="N148" t="s">
        <v>106</v>
      </c>
    </row>
    <row r="149" spans="1:14">
      <c r="A149" t="s">
        <v>296</v>
      </c>
      <c r="B149" t="s">
        <v>31</v>
      </c>
      <c r="C149" t="s">
        <v>140</v>
      </c>
      <c r="D149" t="s">
        <v>20</v>
      </c>
      <c r="G149" t="s">
        <v>25</v>
      </c>
      <c r="H149" t="s">
        <v>25</v>
      </c>
      <c r="M149" t="s">
        <v>27</v>
      </c>
      <c r="N149" t="s">
        <v>106</v>
      </c>
    </row>
    <row r="150" spans="1:14">
      <c r="A150" t="s">
        <v>297</v>
      </c>
      <c r="B150" t="s">
        <v>31</v>
      </c>
      <c r="C150" t="s">
        <v>140</v>
      </c>
      <c r="D150" t="s">
        <v>20</v>
      </c>
      <c r="G150" t="s">
        <v>25</v>
      </c>
      <c r="H150" t="s">
        <v>25</v>
      </c>
      <c r="M150" t="s">
        <v>27</v>
      </c>
      <c r="N150" t="s">
        <v>106</v>
      </c>
    </row>
    <row r="151" spans="1:14">
      <c r="A151" t="s">
        <v>298</v>
      </c>
      <c r="B151" t="s">
        <v>31</v>
      </c>
      <c r="C151" t="s">
        <v>140</v>
      </c>
      <c r="D151" t="s">
        <v>20</v>
      </c>
      <c r="G151" t="s">
        <v>25</v>
      </c>
      <c r="H151" t="s">
        <v>25</v>
      </c>
      <c r="M151" t="s">
        <v>27</v>
      </c>
      <c r="N151" t="s">
        <v>106</v>
      </c>
    </row>
    <row r="152" spans="1:14">
      <c r="A152" t="s">
        <v>299</v>
      </c>
      <c r="B152" t="s">
        <v>31</v>
      </c>
      <c r="C152" t="s">
        <v>140</v>
      </c>
      <c r="D152" t="s">
        <v>20</v>
      </c>
      <c r="G152" t="s">
        <v>25</v>
      </c>
      <c r="H152" t="s">
        <v>25</v>
      </c>
      <c r="M152" t="s">
        <v>27</v>
      </c>
      <c r="N152" t="s">
        <v>106</v>
      </c>
    </row>
    <row r="153" spans="1:14">
      <c r="A153" t="s">
        <v>300</v>
      </c>
      <c r="B153" t="s">
        <v>31</v>
      </c>
      <c r="C153" t="s">
        <v>140</v>
      </c>
      <c r="D153" t="s">
        <v>20</v>
      </c>
      <c r="G153" t="s">
        <v>25</v>
      </c>
      <c r="H153" t="s">
        <v>25</v>
      </c>
      <c r="M153" t="s">
        <v>27</v>
      </c>
      <c r="N153" t="s">
        <v>106</v>
      </c>
    </row>
    <row r="154" spans="1:14">
      <c r="A154" t="s">
        <v>301</v>
      </c>
      <c r="B154" t="s">
        <v>31</v>
      </c>
      <c r="C154" t="s">
        <v>140</v>
      </c>
      <c r="D154" t="s">
        <v>20</v>
      </c>
      <c r="G154" t="s">
        <v>25</v>
      </c>
      <c r="H154" t="s">
        <v>25</v>
      </c>
      <c r="M154" t="s">
        <v>27</v>
      </c>
      <c r="N154" t="s">
        <v>106</v>
      </c>
    </row>
    <row r="155" spans="1:14">
      <c r="A155" t="s">
        <v>302</v>
      </c>
      <c r="B155" t="s">
        <v>31</v>
      </c>
      <c r="C155" t="s">
        <v>140</v>
      </c>
      <c r="D155" t="s">
        <v>20</v>
      </c>
      <c r="G155" t="s">
        <v>25</v>
      </c>
      <c r="H155" t="s">
        <v>25</v>
      </c>
      <c r="M155" t="s">
        <v>27</v>
      </c>
      <c r="N155" t="s">
        <v>106</v>
      </c>
    </row>
    <row r="156" spans="1:14">
      <c r="A156" t="s">
        <v>303</v>
      </c>
      <c r="B156" t="s">
        <v>31</v>
      </c>
      <c r="C156" t="s">
        <v>140</v>
      </c>
      <c r="D156" t="s">
        <v>20</v>
      </c>
      <c r="G156" t="s">
        <v>25</v>
      </c>
      <c r="H156" t="s">
        <v>25</v>
      </c>
      <c r="M156" t="s">
        <v>27</v>
      </c>
      <c r="N156" t="s">
        <v>106</v>
      </c>
    </row>
    <row r="157" spans="1:14">
      <c r="A157" t="s">
        <v>304</v>
      </c>
      <c r="B157" t="s">
        <v>31</v>
      </c>
      <c r="C157" t="s">
        <v>140</v>
      </c>
      <c r="D157" t="s">
        <v>20</v>
      </c>
      <c r="G157" t="s">
        <v>25</v>
      </c>
      <c r="H157" t="s">
        <v>25</v>
      </c>
      <c r="M157" t="s">
        <v>27</v>
      </c>
      <c r="N157" t="s">
        <v>106</v>
      </c>
    </row>
    <row r="158" spans="1:14">
      <c r="A158" t="s">
        <v>305</v>
      </c>
      <c r="B158" t="s">
        <v>31</v>
      </c>
      <c r="C158" t="s">
        <v>140</v>
      </c>
      <c r="D158" t="s">
        <v>20</v>
      </c>
      <c r="G158" t="s">
        <v>25</v>
      </c>
      <c r="H158" t="s">
        <v>25</v>
      </c>
      <c r="M158" t="s">
        <v>27</v>
      </c>
      <c r="N158" t="s">
        <v>106</v>
      </c>
    </row>
    <row r="159" spans="1:14">
      <c r="A159" t="s">
        <v>306</v>
      </c>
      <c r="B159" t="s">
        <v>31</v>
      </c>
      <c r="C159" t="s">
        <v>140</v>
      </c>
      <c r="D159" t="s">
        <v>20</v>
      </c>
      <c r="G159" t="s">
        <v>25</v>
      </c>
      <c r="H159" t="s">
        <v>25</v>
      </c>
      <c r="M159" t="s">
        <v>27</v>
      </c>
      <c r="N159" t="s">
        <v>106</v>
      </c>
    </row>
    <row r="160" spans="1:14">
      <c r="A160" t="s">
        <v>307</v>
      </c>
      <c r="B160" t="s">
        <v>31</v>
      </c>
      <c r="C160" t="s">
        <v>140</v>
      </c>
      <c r="D160" t="s">
        <v>20</v>
      </c>
      <c r="G160" t="s">
        <v>25</v>
      </c>
      <c r="H160" t="s">
        <v>25</v>
      </c>
      <c r="M160" t="s">
        <v>27</v>
      </c>
      <c r="N160" t="s">
        <v>106</v>
      </c>
    </row>
    <row r="161" spans="1:14">
      <c r="A161" t="s">
        <v>308</v>
      </c>
      <c r="B161" t="s">
        <v>31</v>
      </c>
      <c r="C161" t="s">
        <v>140</v>
      </c>
      <c r="D161" t="s">
        <v>20</v>
      </c>
      <c r="G161" t="s">
        <v>25</v>
      </c>
      <c r="H161" t="s">
        <v>25</v>
      </c>
      <c r="M161" t="s">
        <v>27</v>
      </c>
      <c r="N161" t="s">
        <v>106</v>
      </c>
    </row>
    <row r="162" spans="1:14">
      <c r="A162" t="s">
        <v>309</v>
      </c>
      <c r="B162" t="s">
        <v>31</v>
      </c>
      <c r="C162" t="s">
        <v>140</v>
      </c>
      <c r="D162" t="s">
        <v>20</v>
      </c>
      <c r="G162" t="s">
        <v>25</v>
      </c>
      <c r="H162" t="s">
        <v>25</v>
      </c>
      <c r="M162" t="s">
        <v>27</v>
      </c>
      <c r="N162" t="s">
        <v>106</v>
      </c>
    </row>
    <row r="163" spans="1:14">
      <c r="A163" t="s">
        <v>310</v>
      </c>
      <c r="B163" t="s">
        <v>31</v>
      </c>
      <c r="C163" t="s">
        <v>140</v>
      </c>
      <c r="D163" t="s">
        <v>20</v>
      </c>
      <c r="G163" t="s">
        <v>25</v>
      </c>
      <c r="H163" t="s">
        <v>25</v>
      </c>
      <c r="M163" t="s">
        <v>27</v>
      </c>
      <c r="N163" t="s">
        <v>106</v>
      </c>
    </row>
    <row r="164" spans="1:14">
      <c r="A164" t="s">
        <v>311</v>
      </c>
      <c r="B164" t="s">
        <v>31</v>
      </c>
      <c r="C164" t="s">
        <v>140</v>
      </c>
      <c r="D164" t="s">
        <v>20</v>
      </c>
      <c r="G164" t="s">
        <v>25</v>
      </c>
      <c r="H164" t="s">
        <v>25</v>
      </c>
      <c r="M164" t="s">
        <v>27</v>
      </c>
      <c r="N164" t="s">
        <v>106</v>
      </c>
    </row>
    <row r="165" spans="1:14">
      <c r="A165" t="s">
        <v>312</v>
      </c>
      <c r="B165" t="s">
        <v>31</v>
      </c>
      <c r="C165" t="s">
        <v>140</v>
      </c>
      <c r="D165" t="s">
        <v>20</v>
      </c>
      <c r="G165" t="s">
        <v>25</v>
      </c>
      <c r="H165" t="s">
        <v>25</v>
      </c>
      <c r="M165" t="s">
        <v>27</v>
      </c>
      <c r="N165" t="s">
        <v>106</v>
      </c>
    </row>
    <row r="166" spans="1:14">
      <c r="A166" t="s">
        <v>313</v>
      </c>
      <c r="B166" t="s">
        <v>31</v>
      </c>
      <c r="C166" t="s">
        <v>140</v>
      </c>
      <c r="D166" t="s">
        <v>20</v>
      </c>
      <c r="G166" t="s">
        <v>25</v>
      </c>
      <c r="H166" t="s">
        <v>25</v>
      </c>
      <c r="M166" t="s">
        <v>27</v>
      </c>
      <c r="N166" t="s">
        <v>106</v>
      </c>
    </row>
    <row r="167" spans="1:14">
      <c r="A167" t="s">
        <v>314</v>
      </c>
      <c r="B167" t="s">
        <v>31</v>
      </c>
      <c r="C167" t="s">
        <v>140</v>
      </c>
      <c r="D167" t="s">
        <v>20</v>
      </c>
      <c r="G167" t="s">
        <v>25</v>
      </c>
      <c r="H167" t="s">
        <v>25</v>
      </c>
      <c r="M167" t="s">
        <v>27</v>
      </c>
      <c r="N167" t="s">
        <v>106</v>
      </c>
    </row>
    <row r="168" spans="1:14">
      <c r="A168" t="s">
        <v>315</v>
      </c>
      <c r="B168" t="s">
        <v>31</v>
      </c>
      <c r="C168" t="s">
        <v>140</v>
      </c>
      <c r="D168" t="s">
        <v>20</v>
      </c>
      <c r="G168" t="s">
        <v>25</v>
      </c>
      <c r="H168" t="s">
        <v>25</v>
      </c>
      <c r="M168" t="s">
        <v>27</v>
      </c>
      <c r="N168" t="s">
        <v>106</v>
      </c>
    </row>
    <row r="169" spans="1:14">
      <c r="A169" t="s">
        <v>316</v>
      </c>
      <c r="B169" t="s">
        <v>31</v>
      </c>
      <c r="C169" t="s">
        <v>140</v>
      </c>
      <c r="D169" t="s">
        <v>20</v>
      </c>
      <c r="G169" t="s">
        <v>25</v>
      </c>
      <c r="H169" t="s">
        <v>25</v>
      </c>
      <c r="M169" t="s">
        <v>27</v>
      </c>
      <c r="N169" t="s">
        <v>106</v>
      </c>
    </row>
    <row r="170" spans="1:14">
      <c r="A170" t="s">
        <v>317</v>
      </c>
      <c r="B170" t="s">
        <v>31</v>
      </c>
      <c r="C170" t="s">
        <v>140</v>
      </c>
      <c r="D170" t="s">
        <v>20</v>
      </c>
      <c r="G170" t="s">
        <v>25</v>
      </c>
      <c r="H170" t="s">
        <v>25</v>
      </c>
      <c r="M170" t="s">
        <v>27</v>
      </c>
      <c r="N170" t="s">
        <v>106</v>
      </c>
    </row>
    <row r="171" spans="1:14">
      <c r="A171" t="s">
        <v>318</v>
      </c>
      <c r="B171" t="s">
        <v>31</v>
      </c>
      <c r="C171" t="s">
        <v>140</v>
      </c>
      <c r="D171" t="s">
        <v>20</v>
      </c>
      <c r="G171" t="s">
        <v>25</v>
      </c>
      <c r="H171" t="s">
        <v>25</v>
      </c>
      <c r="M171" t="s">
        <v>27</v>
      </c>
      <c r="N171" t="s">
        <v>106</v>
      </c>
    </row>
    <row r="172" spans="1:14">
      <c r="A172" t="s">
        <v>319</v>
      </c>
      <c r="B172" t="s">
        <v>31</v>
      </c>
      <c r="C172" t="s">
        <v>140</v>
      </c>
      <c r="D172" t="s">
        <v>20</v>
      </c>
      <c r="G172" t="s">
        <v>25</v>
      </c>
      <c r="H172" t="s">
        <v>25</v>
      </c>
      <c r="M172" t="s">
        <v>27</v>
      </c>
      <c r="N172" t="s">
        <v>106</v>
      </c>
    </row>
    <row r="173" spans="1:14">
      <c r="A173" t="s">
        <v>320</v>
      </c>
      <c r="B173" t="s">
        <v>31</v>
      </c>
      <c r="C173" t="s">
        <v>140</v>
      </c>
      <c r="D173" t="s">
        <v>20</v>
      </c>
      <c r="G173" t="s">
        <v>25</v>
      </c>
      <c r="H173" t="s">
        <v>25</v>
      </c>
      <c r="M173" t="s">
        <v>27</v>
      </c>
      <c r="N173" t="s">
        <v>106</v>
      </c>
    </row>
    <row r="174" spans="1:14">
      <c r="A174" t="s">
        <v>321</v>
      </c>
      <c r="B174" t="s">
        <v>31</v>
      </c>
      <c r="C174" t="s">
        <v>140</v>
      </c>
      <c r="D174" t="s">
        <v>20</v>
      </c>
      <c r="G174" t="s">
        <v>25</v>
      </c>
      <c r="H174" t="s">
        <v>25</v>
      </c>
      <c r="M174" t="s">
        <v>27</v>
      </c>
      <c r="N174" t="s">
        <v>106</v>
      </c>
    </row>
    <row r="175" spans="1:14">
      <c r="A175" t="s">
        <v>322</v>
      </c>
      <c r="B175" t="s">
        <v>31</v>
      </c>
      <c r="C175" t="s">
        <v>140</v>
      </c>
      <c r="D175" t="s">
        <v>20</v>
      </c>
      <c r="G175" t="s">
        <v>25</v>
      </c>
      <c r="H175" t="s">
        <v>25</v>
      </c>
      <c r="M175" t="s">
        <v>27</v>
      </c>
      <c r="N175" t="s">
        <v>106</v>
      </c>
    </row>
    <row r="176" spans="1:14">
      <c r="A176" t="s">
        <v>323</v>
      </c>
      <c r="B176" t="s">
        <v>31</v>
      </c>
      <c r="C176" t="s">
        <v>140</v>
      </c>
      <c r="D176" t="s">
        <v>20</v>
      </c>
      <c r="G176" t="s">
        <v>25</v>
      </c>
      <c r="H176" t="s">
        <v>25</v>
      </c>
      <c r="M176" t="s">
        <v>27</v>
      </c>
      <c r="N176" t="s">
        <v>106</v>
      </c>
    </row>
    <row r="177" spans="1:18">
      <c r="A177" t="s">
        <v>324</v>
      </c>
      <c r="B177" t="s">
        <v>31</v>
      </c>
      <c r="C177" t="s">
        <v>140</v>
      </c>
      <c r="D177" t="s">
        <v>20</v>
      </c>
      <c r="G177" t="s">
        <v>25</v>
      </c>
      <c r="H177" t="s">
        <v>25</v>
      </c>
      <c r="M177" t="s">
        <v>27</v>
      </c>
      <c r="N177" t="s">
        <v>106</v>
      </c>
    </row>
    <row r="178" spans="1:18">
      <c r="A178" t="s">
        <v>325</v>
      </c>
      <c r="B178" t="s">
        <v>31</v>
      </c>
      <c r="C178" t="s">
        <v>140</v>
      </c>
      <c r="D178" t="s">
        <v>20</v>
      </c>
      <c r="G178" t="s">
        <v>25</v>
      </c>
      <c r="H178" t="s">
        <v>25</v>
      </c>
      <c r="M178" t="s">
        <v>27</v>
      </c>
      <c r="N178" t="s">
        <v>106</v>
      </c>
    </row>
    <row r="179" spans="1:18" s="7" customFormat="1">
      <c r="A179" t="s">
        <v>326</v>
      </c>
      <c r="B179" t="s">
        <v>18</v>
      </c>
      <c r="C179" t="s">
        <v>140</v>
      </c>
      <c r="D179" t="s">
        <v>36</v>
      </c>
      <c r="E179"/>
      <c r="F179"/>
      <c r="G179" t="s">
        <v>25</v>
      </c>
      <c r="H179" t="s">
        <v>25</v>
      </c>
      <c r="I179"/>
      <c r="J179"/>
      <c r="K179"/>
      <c r="L179"/>
      <c r="M179" t="s">
        <v>47</v>
      </c>
      <c r="N179" t="s">
        <v>106</v>
      </c>
      <c r="O179"/>
      <c r="P179"/>
      <c r="Q179"/>
      <c r="R179"/>
    </row>
    <row r="180" spans="1:18">
      <c r="A180" t="s">
        <v>327</v>
      </c>
      <c r="B180" t="s">
        <v>31</v>
      </c>
      <c r="C180" t="s">
        <v>140</v>
      </c>
      <c r="D180" t="s">
        <v>20</v>
      </c>
      <c r="G180" t="s">
        <v>25</v>
      </c>
      <c r="H180" t="s">
        <v>25</v>
      </c>
      <c r="M180" t="s">
        <v>27</v>
      </c>
      <c r="N180" t="s">
        <v>106</v>
      </c>
    </row>
    <row r="181" spans="1:18">
      <c r="A181" t="s">
        <v>328</v>
      </c>
      <c r="B181" t="s">
        <v>31</v>
      </c>
      <c r="C181" t="s">
        <v>140</v>
      </c>
      <c r="D181" t="s">
        <v>20</v>
      </c>
      <c r="G181" t="s">
        <v>25</v>
      </c>
      <c r="H181" t="s">
        <v>25</v>
      </c>
      <c r="M181" t="s">
        <v>27</v>
      </c>
      <c r="N181" t="s">
        <v>106</v>
      </c>
    </row>
    <row r="182" spans="1:18">
      <c r="A182" t="s">
        <v>329</v>
      </c>
      <c r="B182" t="s">
        <v>31</v>
      </c>
      <c r="C182" t="s">
        <v>140</v>
      </c>
      <c r="D182" t="s">
        <v>20</v>
      </c>
      <c r="G182" t="s">
        <v>25</v>
      </c>
      <c r="H182" t="s">
        <v>25</v>
      </c>
      <c r="M182" t="s">
        <v>27</v>
      </c>
      <c r="N182" t="s">
        <v>106</v>
      </c>
    </row>
    <row r="183" spans="1:18">
      <c r="A183" t="s">
        <v>330</v>
      </c>
      <c r="B183" t="s">
        <v>31</v>
      </c>
      <c r="C183" t="s">
        <v>140</v>
      </c>
      <c r="D183" t="s">
        <v>20</v>
      </c>
      <c r="G183" t="s">
        <v>25</v>
      </c>
      <c r="H183" t="s">
        <v>25</v>
      </c>
      <c r="M183" t="s">
        <v>27</v>
      </c>
      <c r="N183" t="s">
        <v>106</v>
      </c>
    </row>
    <row r="184" spans="1:18">
      <c r="A184" t="s">
        <v>331</v>
      </c>
      <c r="B184" t="s">
        <v>31</v>
      </c>
      <c r="C184" t="s">
        <v>140</v>
      </c>
      <c r="D184" t="s">
        <v>20</v>
      </c>
      <c r="G184" t="s">
        <v>25</v>
      </c>
      <c r="H184" t="s">
        <v>25</v>
      </c>
      <c r="M184" t="s">
        <v>27</v>
      </c>
      <c r="N184" t="s">
        <v>106</v>
      </c>
    </row>
    <row r="185" spans="1:18">
      <c r="A185" t="s">
        <v>332</v>
      </c>
      <c r="B185" t="s">
        <v>31</v>
      </c>
      <c r="C185" t="s">
        <v>140</v>
      </c>
      <c r="D185" t="s">
        <v>20</v>
      </c>
      <c r="G185" t="s">
        <v>25</v>
      </c>
      <c r="H185" t="s">
        <v>25</v>
      </c>
      <c r="M185" t="s">
        <v>27</v>
      </c>
      <c r="N185" t="s">
        <v>106</v>
      </c>
    </row>
    <row r="186" spans="1:18">
      <c r="A186" t="s">
        <v>333</v>
      </c>
      <c r="B186" t="s">
        <v>31</v>
      </c>
      <c r="C186" t="s">
        <v>140</v>
      </c>
      <c r="D186" t="s">
        <v>20</v>
      </c>
      <c r="G186" t="s">
        <v>25</v>
      </c>
      <c r="H186" t="s">
        <v>25</v>
      </c>
      <c r="M186" t="s">
        <v>27</v>
      </c>
      <c r="N186" t="s">
        <v>106</v>
      </c>
    </row>
    <row r="187" spans="1:18">
      <c r="A187" t="s">
        <v>334</v>
      </c>
      <c r="B187" t="s">
        <v>31</v>
      </c>
      <c r="C187" t="s">
        <v>140</v>
      </c>
      <c r="D187" t="s">
        <v>20</v>
      </c>
      <c r="G187" t="s">
        <v>25</v>
      </c>
      <c r="H187" t="s">
        <v>25</v>
      </c>
      <c r="M187" t="s">
        <v>27</v>
      </c>
      <c r="N187" t="s">
        <v>106</v>
      </c>
    </row>
    <row r="188" spans="1:18">
      <c r="A188" t="s">
        <v>335</v>
      </c>
      <c r="B188" t="s">
        <v>31</v>
      </c>
      <c r="C188" t="s">
        <v>140</v>
      </c>
      <c r="D188" t="s">
        <v>20</v>
      </c>
      <c r="G188" t="s">
        <v>25</v>
      </c>
      <c r="H188" t="s">
        <v>25</v>
      </c>
      <c r="M188" t="s">
        <v>27</v>
      </c>
      <c r="N188" t="s">
        <v>106</v>
      </c>
    </row>
    <row r="189" spans="1:18">
      <c r="A189" t="s">
        <v>336</v>
      </c>
      <c r="B189" t="s">
        <v>31</v>
      </c>
      <c r="C189" t="s">
        <v>140</v>
      </c>
      <c r="D189" t="s">
        <v>20</v>
      </c>
      <c r="G189" t="s">
        <v>25</v>
      </c>
      <c r="H189" t="s">
        <v>25</v>
      </c>
      <c r="M189" t="s">
        <v>27</v>
      </c>
      <c r="N189" t="s">
        <v>106</v>
      </c>
    </row>
    <row r="190" spans="1:18">
      <c r="A190" t="s">
        <v>337</v>
      </c>
      <c r="B190" t="s">
        <v>31</v>
      </c>
      <c r="C190" t="s">
        <v>140</v>
      </c>
      <c r="D190" t="s">
        <v>20</v>
      </c>
      <c r="G190" t="s">
        <v>25</v>
      </c>
      <c r="H190" t="s">
        <v>25</v>
      </c>
      <c r="M190" t="s">
        <v>27</v>
      </c>
      <c r="N190" t="s">
        <v>106</v>
      </c>
    </row>
    <row r="191" spans="1:18">
      <c r="A191" t="s">
        <v>338</v>
      </c>
      <c r="B191" t="s">
        <v>31</v>
      </c>
      <c r="C191" t="s">
        <v>140</v>
      </c>
      <c r="D191" t="s">
        <v>20</v>
      </c>
      <c r="G191" t="s">
        <v>25</v>
      </c>
      <c r="H191" t="s">
        <v>25</v>
      </c>
      <c r="M191" t="s">
        <v>27</v>
      </c>
      <c r="N191" t="s">
        <v>106</v>
      </c>
    </row>
    <row r="192" spans="1:18">
      <c r="A192" t="s">
        <v>339</v>
      </c>
      <c r="B192" t="s">
        <v>31</v>
      </c>
      <c r="C192" t="s">
        <v>140</v>
      </c>
      <c r="D192" t="s">
        <v>20</v>
      </c>
      <c r="G192" t="s">
        <v>25</v>
      </c>
      <c r="H192" t="s">
        <v>25</v>
      </c>
      <c r="M192" t="s">
        <v>27</v>
      </c>
      <c r="N192" t="s">
        <v>106</v>
      </c>
    </row>
    <row r="193" spans="1:14">
      <c r="A193" t="s">
        <v>340</v>
      </c>
      <c r="B193" t="s">
        <v>31</v>
      </c>
      <c r="C193" t="s">
        <v>140</v>
      </c>
      <c r="D193" t="s">
        <v>20</v>
      </c>
      <c r="G193" t="s">
        <v>25</v>
      </c>
      <c r="H193" t="s">
        <v>25</v>
      </c>
      <c r="M193" t="s">
        <v>27</v>
      </c>
      <c r="N193" t="s">
        <v>106</v>
      </c>
    </row>
    <row r="194" spans="1:14">
      <c r="A194" t="s">
        <v>341</v>
      </c>
      <c r="B194" t="s">
        <v>31</v>
      </c>
      <c r="C194" t="s">
        <v>140</v>
      </c>
      <c r="D194" t="s">
        <v>20</v>
      </c>
      <c r="G194" t="s">
        <v>25</v>
      </c>
      <c r="H194" t="s">
        <v>25</v>
      </c>
      <c r="M194" t="s">
        <v>27</v>
      </c>
      <c r="N194" t="s">
        <v>106</v>
      </c>
    </row>
    <row r="195" spans="1:14">
      <c r="A195" t="s">
        <v>342</v>
      </c>
      <c r="B195" t="s">
        <v>31</v>
      </c>
      <c r="C195" t="s">
        <v>140</v>
      </c>
      <c r="D195" t="s">
        <v>20</v>
      </c>
      <c r="G195" t="s">
        <v>25</v>
      </c>
      <c r="H195" t="s">
        <v>25</v>
      </c>
      <c r="M195" t="s">
        <v>27</v>
      </c>
      <c r="N195" t="s">
        <v>106</v>
      </c>
    </row>
    <row r="196" spans="1:14">
      <c r="A196" t="s">
        <v>343</v>
      </c>
      <c r="B196" t="s">
        <v>31</v>
      </c>
      <c r="C196" t="s">
        <v>140</v>
      </c>
      <c r="D196" t="s">
        <v>20</v>
      </c>
      <c r="G196" t="s">
        <v>25</v>
      </c>
      <c r="H196" t="s">
        <v>25</v>
      </c>
      <c r="M196" t="s">
        <v>27</v>
      </c>
      <c r="N196" t="s">
        <v>106</v>
      </c>
    </row>
    <row r="197" spans="1:14">
      <c r="A197" t="s">
        <v>344</v>
      </c>
      <c r="B197" t="s">
        <v>31</v>
      </c>
      <c r="C197" t="s">
        <v>140</v>
      </c>
      <c r="D197" t="s">
        <v>20</v>
      </c>
      <c r="G197" t="s">
        <v>25</v>
      </c>
      <c r="H197" t="s">
        <v>25</v>
      </c>
      <c r="M197" t="s">
        <v>27</v>
      </c>
      <c r="N197" t="s">
        <v>106</v>
      </c>
    </row>
    <row r="198" spans="1:14">
      <c r="A198" t="s">
        <v>345</v>
      </c>
      <c r="B198" t="s">
        <v>31</v>
      </c>
      <c r="C198" t="s">
        <v>140</v>
      </c>
      <c r="D198" t="s">
        <v>20</v>
      </c>
      <c r="G198" t="s">
        <v>25</v>
      </c>
      <c r="H198" t="s">
        <v>25</v>
      </c>
      <c r="M198" t="s">
        <v>27</v>
      </c>
      <c r="N198" t="s">
        <v>106</v>
      </c>
    </row>
    <row r="199" spans="1:14">
      <c r="A199" t="s">
        <v>346</v>
      </c>
      <c r="B199" t="s">
        <v>31</v>
      </c>
      <c r="C199" t="s">
        <v>140</v>
      </c>
      <c r="D199" t="s">
        <v>20</v>
      </c>
      <c r="G199" t="s">
        <v>25</v>
      </c>
      <c r="H199" t="s">
        <v>25</v>
      </c>
      <c r="M199" t="s">
        <v>27</v>
      </c>
      <c r="N199" t="s">
        <v>106</v>
      </c>
    </row>
    <row r="200" spans="1:14">
      <c r="A200" t="s">
        <v>347</v>
      </c>
      <c r="B200" t="s">
        <v>31</v>
      </c>
      <c r="C200" t="s">
        <v>140</v>
      </c>
      <c r="D200" t="s">
        <v>20</v>
      </c>
      <c r="G200" t="s">
        <v>25</v>
      </c>
      <c r="H200" t="s">
        <v>25</v>
      </c>
      <c r="M200" t="s">
        <v>27</v>
      </c>
      <c r="N200" t="s">
        <v>106</v>
      </c>
    </row>
    <row r="201" spans="1:14">
      <c r="A201" t="s">
        <v>348</v>
      </c>
      <c r="B201" t="s">
        <v>31</v>
      </c>
      <c r="C201" t="s">
        <v>140</v>
      </c>
      <c r="D201" t="s">
        <v>20</v>
      </c>
      <c r="G201" t="s">
        <v>25</v>
      </c>
      <c r="H201" t="s">
        <v>25</v>
      </c>
      <c r="M201" t="s">
        <v>27</v>
      </c>
      <c r="N201" t="s">
        <v>106</v>
      </c>
    </row>
    <row r="202" spans="1:14">
      <c r="A202" t="s">
        <v>349</v>
      </c>
      <c r="B202" t="s">
        <v>31</v>
      </c>
      <c r="C202" t="s">
        <v>140</v>
      </c>
      <c r="D202" t="s">
        <v>20</v>
      </c>
      <c r="G202" t="s">
        <v>25</v>
      </c>
      <c r="H202" t="s">
        <v>25</v>
      </c>
      <c r="M202" t="s">
        <v>27</v>
      </c>
      <c r="N202" t="s">
        <v>106</v>
      </c>
    </row>
    <row r="203" spans="1:14">
      <c r="A203" t="s">
        <v>350</v>
      </c>
      <c r="B203" t="s">
        <v>31</v>
      </c>
      <c r="C203" t="s">
        <v>140</v>
      </c>
      <c r="D203" t="s">
        <v>20</v>
      </c>
      <c r="G203" t="s">
        <v>25</v>
      </c>
      <c r="H203" t="s">
        <v>25</v>
      </c>
      <c r="M203" t="s">
        <v>27</v>
      </c>
      <c r="N203" t="s">
        <v>106</v>
      </c>
    </row>
    <row r="204" spans="1:14">
      <c r="A204" t="s">
        <v>351</v>
      </c>
      <c r="B204" t="s">
        <v>31</v>
      </c>
      <c r="C204" t="s">
        <v>140</v>
      </c>
      <c r="D204" t="s">
        <v>20</v>
      </c>
      <c r="G204" t="s">
        <v>25</v>
      </c>
      <c r="H204" t="s">
        <v>25</v>
      </c>
      <c r="M204" t="s">
        <v>27</v>
      </c>
      <c r="N204" t="s">
        <v>106</v>
      </c>
    </row>
    <row r="205" spans="1:14">
      <c r="A205" t="s">
        <v>352</v>
      </c>
      <c r="B205" t="s">
        <v>31</v>
      </c>
      <c r="C205" t="s">
        <v>140</v>
      </c>
      <c r="D205" t="s">
        <v>20</v>
      </c>
      <c r="G205" t="s">
        <v>25</v>
      </c>
      <c r="H205" t="s">
        <v>25</v>
      </c>
      <c r="M205" t="s">
        <v>27</v>
      </c>
      <c r="N205" t="s">
        <v>106</v>
      </c>
    </row>
    <row r="206" spans="1:14">
      <c r="A206" t="s">
        <v>353</v>
      </c>
      <c r="B206" t="s">
        <v>31</v>
      </c>
      <c r="C206" t="s">
        <v>140</v>
      </c>
      <c r="D206" t="s">
        <v>20</v>
      </c>
      <c r="G206" t="s">
        <v>25</v>
      </c>
      <c r="H206" t="s">
        <v>25</v>
      </c>
      <c r="M206" t="s">
        <v>27</v>
      </c>
      <c r="N206" t="s">
        <v>106</v>
      </c>
    </row>
    <row r="207" spans="1:14">
      <c r="A207" t="s">
        <v>354</v>
      </c>
      <c r="B207" t="s">
        <v>31</v>
      </c>
      <c r="C207" t="s">
        <v>140</v>
      </c>
      <c r="D207" t="s">
        <v>20</v>
      </c>
      <c r="G207" t="s">
        <v>25</v>
      </c>
      <c r="H207" t="s">
        <v>25</v>
      </c>
      <c r="M207" t="s">
        <v>27</v>
      </c>
      <c r="N207" t="s">
        <v>106</v>
      </c>
    </row>
    <row r="208" spans="1:14">
      <c r="A208" t="s">
        <v>355</v>
      </c>
      <c r="B208" t="s">
        <v>31</v>
      </c>
      <c r="C208" t="s">
        <v>140</v>
      </c>
      <c r="D208" t="s">
        <v>20</v>
      </c>
      <c r="G208" t="s">
        <v>25</v>
      </c>
      <c r="H208" t="s">
        <v>25</v>
      </c>
      <c r="M208" t="s">
        <v>27</v>
      </c>
      <c r="N208" t="s">
        <v>106</v>
      </c>
    </row>
    <row r="209" spans="1:18">
      <c r="A209" t="s">
        <v>356</v>
      </c>
      <c r="B209" t="s">
        <v>31</v>
      </c>
      <c r="C209" t="s">
        <v>140</v>
      </c>
      <c r="D209" t="s">
        <v>20</v>
      </c>
      <c r="G209" t="s">
        <v>25</v>
      </c>
      <c r="H209" t="s">
        <v>25</v>
      </c>
      <c r="M209" t="s">
        <v>27</v>
      </c>
      <c r="N209" t="s">
        <v>106</v>
      </c>
    </row>
    <row r="210" spans="1:18">
      <c r="A210" t="s">
        <v>357</v>
      </c>
      <c r="B210" t="s">
        <v>31</v>
      </c>
      <c r="C210" t="s">
        <v>140</v>
      </c>
      <c r="D210" t="s">
        <v>20</v>
      </c>
      <c r="G210" t="s">
        <v>25</v>
      </c>
      <c r="H210" t="s">
        <v>25</v>
      </c>
      <c r="M210" t="s">
        <v>27</v>
      </c>
      <c r="N210" t="s">
        <v>106</v>
      </c>
    </row>
    <row r="211" spans="1:18">
      <c r="A211" t="s">
        <v>358</v>
      </c>
      <c r="B211" t="s">
        <v>31</v>
      </c>
      <c r="C211" t="s">
        <v>140</v>
      </c>
      <c r="D211" t="s">
        <v>20</v>
      </c>
      <c r="G211" t="s">
        <v>25</v>
      </c>
      <c r="H211" t="s">
        <v>25</v>
      </c>
      <c r="M211" t="s">
        <v>27</v>
      </c>
      <c r="N211" t="s">
        <v>106</v>
      </c>
    </row>
    <row r="212" spans="1:18">
      <c r="A212" t="s">
        <v>359</v>
      </c>
      <c r="B212" t="s">
        <v>31</v>
      </c>
      <c r="C212" t="s">
        <v>140</v>
      </c>
      <c r="D212" t="s">
        <v>20</v>
      </c>
      <c r="G212" t="s">
        <v>25</v>
      </c>
      <c r="H212" t="s">
        <v>25</v>
      </c>
      <c r="M212" t="s">
        <v>27</v>
      </c>
      <c r="N212" t="s">
        <v>106</v>
      </c>
    </row>
    <row r="213" spans="1:18">
      <c r="A213" t="s">
        <v>360</v>
      </c>
      <c r="B213" t="s">
        <v>31</v>
      </c>
      <c r="C213" t="s">
        <v>140</v>
      </c>
      <c r="D213" t="s">
        <v>20</v>
      </c>
      <c r="G213" t="s">
        <v>25</v>
      </c>
      <c r="H213" t="s">
        <v>25</v>
      </c>
      <c r="M213" t="s">
        <v>27</v>
      </c>
      <c r="N213" t="s">
        <v>106</v>
      </c>
    </row>
    <row r="214" spans="1:18">
      <c r="A214" t="s">
        <v>361</v>
      </c>
      <c r="B214" t="s">
        <v>31</v>
      </c>
      <c r="C214" t="s">
        <v>140</v>
      </c>
      <c r="D214" t="s">
        <v>20</v>
      </c>
      <c r="G214" t="s">
        <v>25</v>
      </c>
      <c r="H214" t="s">
        <v>25</v>
      </c>
      <c r="M214" t="s">
        <v>27</v>
      </c>
      <c r="N214" t="s">
        <v>106</v>
      </c>
    </row>
    <row r="215" spans="1:18">
      <c r="A215" t="s">
        <v>362</v>
      </c>
      <c r="B215" t="s">
        <v>31</v>
      </c>
      <c r="C215" t="s">
        <v>140</v>
      </c>
      <c r="D215" t="s">
        <v>20</v>
      </c>
      <c r="G215" t="s">
        <v>25</v>
      </c>
      <c r="H215" t="s">
        <v>25</v>
      </c>
      <c r="M215" t="s">
        <v>27</v>
      </c>
      <c r="N215" t="s">
        <v>106</v>
      </c>
    </row>
    <row r="216" spans="1:18">
      <c r="A216" t="s">
        <v>363</v>
      </c>
      <c r="B216" t="s">
        <v>31</v>
      </c>
      <c r="C216" t="s">
        <v>140</v>
      </c>
      <c r="D216" t="s">
        <v>20</v>
      </c>
      <c r="G216" t="s">
        <v>25</v>
      </c>
      <c r="H216" t="s">
        <v>25</v>
      </c>
      <c r="M216" t="s">
        <v>27</v>
      </c>
      <c r="N216" t="s">
        <v>106</v>
      </c>
    </row>
    <row r="217" spans="1:18">
      <c r="A217" t="s">
        <v>364</v>
      </c>
      <c r="B217" t="s">
        <v>31</v>
      </c>
      <c r="C217" t="s">
        <v>140</v>
      </c>
      <c r="D217" t="s">
        <v>20</v>
      </c>
      <c r="G217" t="s">
        <v>25</v>
      </c>
      <c r="H217" t="s">
        <v>25</v>
      </c>
      <c r="M217" t="s">
        <v>27</v>
      </c>
      <c r="N217" t="s">
        <v>106</v>
      </c>
    </row>
    <row r="218" spans="1:18">
      <c r="A218" t="s">
        <v>365</v>
      </c>
      <c r="B218" t="s">
        <v>31</v>
      </c>
      <c r="C218" t="s">
        <v>140</v>
      </c>
      <c r="D218" t="s">
        <v>20</v>
      </c>
      <c r="G218" t="s">
        <v>25</v>
      </c>
      <c r="H218" t="s">
        <v>25</v>
      </c>
      <c r="M218" t="s">
        <v>27</v>
      </c>
      <c r="N218" t="s">
        <v>106</v>
      </c>
    </row>
    <row r="219" spans="1:18">
      <c r="A219" t="s">
        <v>366</v>
      </c>
      <c r="B219" t="s">
        <v>31</v>
      </c>
      <c r="C219" t="s">
        <v>140</v>
      </c>
      <c r="D219" t="s">
        <v>20</v>
      </c>
      <c r="G219" t="s">
        <v>25</v>
      </c>
      <c r="H219" t="s">
        <v>25</v>
      </c>
      <c r="M219" t="s">
        <v>27</v>
      </c>
      <c r="N219" t="s">
        <v>106</v>
      </c>
    </row>
    <row r="220" spans="1:18">
      <c r="A220" t="s">
        <v>367</v>
      </c>
      <c r="B220" t="s">
        <v>31</v>
      </c>
      <c r="C220" t="s">
        <v>140</v>
      </c>
      <c r="D220" t="s">
        <v>20</v>
      </c>
      <c r="G220" t="s">
        <v>25</v>
      </c>
      <c r="H220" t="s">
        <v>25</v>
      </c>
      <c r="M220" t="s">
        <v>27</v>
      </c>
      <c r="N220" t="s">
        <v>106</v>
      </c>
    </row>
    <row r="221" spans="1:18">
      <c r="A221" t="s">
        <v>368</v>
      </c>
      <c r="B221" t="s">
        <v>31</v>
      </c>
      <c r="C221" t="s">
        <v>140</v>
      </c>
      <c r="D221" t="s">
        <v>20</v>
      </c>
      <c r="G221" t="s">
        <v>25</v>
      </c>
      <c r="H221" t="s">
        <v>25</v>
      </c>
      <c r="M221" t="s">
        <v>27</v>
      </c>
      <c r="N221" t="s">
        <v>106</v>
      </c>
    </row>
    <row r="222" spans="1:18">
      <c r="A222" s="7" t="s">
        <v>369</v>
      </c>
      <c r="B222" s="7" t="s">
        <v>18</v>
      </c>
      <c r="C222" s="7" t="s">
        <v>140</v>
      </c>
      <c r="D222" s="7" t="s">
        <v>59</v>
      </c>
      <c r="E222" s="7"/>
      <c r="F222" s="7"/>
      <c r="G222" s="7" t="s">
        <v>25</v>
      </c>
      <c r="H222" s="7" t="s">
        <v>25</v>
      </c>
      <c r="I222" s="7"/>
      <c r="J222" s="7"/>
      <c r="K222" s="7"/>
      <c r="L222" s="7"/>
      <c r="M222" s="7" t="s">
        <v>27</v>
      </c>
      <c r="N222" s="7" t="s">
        <v>106</v>
      </c>
      <c r="O222" s="7"/>
      <c r="P222" s="7"/>
      <c r="Q222" s="7"/>
      <c r="R222" s="7" t="s">
        <v>370</v>
      </c>
    </row>
    <row r="223" spans="1:18">
      <c r="A223" t="s">
        <v>371</v>
      </c>
      <c r="B223" t="s">
        <v>31</v>
      </c>
      <c r="C223" t="s">
        <v>140</v>
      </c>
      <c r="D223" t="s">
        <v>20</v>
      </c>
      <c r="G223" t="s">
        <v>25</v>
      </c>
      <c r="H223" t="s">
        <v>25</v>
      </c>
      <c r="M223" t="s">
        <v>27</v>
      </c>
      <c r="N223" t="s">
        <v>106</v>
      </c>
    </row>
    <row r="224" spans="1:18">
      <c r="A224" t="s">
        <v>372</v>
      </c>
      <c r="B224" t="s">
        <v>18</v>
      </c>
      <c r="C224" t="s">
        <v>140</v>
      </c>
      <c r="D224" t="s">
        <v>20</v>
      </c>
      <c r="G224" t="s">
        <v>25</v>
      </c>
      <c r="H224" t="s">
        <v>25</v>
      </c>
      <c r="M224" t="s">
        <v>27</v>
      </c>
      <c r="N224" t="s">
        <v>106</v>
      </c>
    </row>
    <row r="225" spans="1:14">
      <c r="A225" t="s">
        <v>373</v>
      </c>
      <c r="B225" t="s">
        <v>18</v>
      </c>
      <c r="C225" t="s">
        <v>140</v>
      </c>
      <c r="D225" t="s">
        <v>20</v>
      </c>
      <c r="G225" t="s">
        <v>25</v>
      </c>
      <c r="H225" t="s">
        <v>25</v>
      </c>
      <c r="M225" t="s">
        <v>27</v>
      </c>
      <c r="N225" t="s">
        <v>106</v>
      </c>
    </row>
    <row r="226" spans="1:14">
      <c r="A226" t="s">
        <v>374</v>
      </c>
      <c r="B226" t="s">
        <v>31</v>
      </c>
      <c r="C226" t="s">
        <v>140</v>
      </c>
      <c r="D226" t="s">
        <v>20</v>
      </c>
      <c r="G226" t="s">
        <v>25</v>
      </c>
      <c r="H226" t="s">
        <v>25</v>
      </c>
      <c r="M226" t="s">
        <v>27</v>
      </c>
      <c r="N226" t="s">
        <v>106</v>
      </c>
    </row>
    <row r="227" spans="1:14">
      <c r="A227" t="s">
        <v>375</v>
      </c>
      <c r="B227" t="s">
        <v>31</v>
      </c>
      <c r="C227" t="s">
        <v>140</v>
      </c>
      <c r="D227" t="s">
        <v>20</v>
      </c>
      <c r="G227" t="s">
        <v>25</v>
      </c>
      <c r="H227" t="s">
        <v>25</v>
      </c>
      <c r="M227" t="s">
        <v>27</v>
      </c>
      <c r="N227" t="s">
        <v>106</v>
      </c>
    </row>
    <row r="228" spans="1:14">
      <c r="A228" t="s">
        <v>376</v>
      </c>
      <c r="B228" t="s">
        <v>31</v>
      </c>
      <c r="C228" t="s">
        <v>140</v>
      </c>
      <c r="D228" t="s">
        <v>20</v>
      </c>
      <c r="G228" t="s">
        <v>25</v>
      </c>
      <c r="H228" t="s">
        <v>25</v>
      </c>
      <c r="M228" t="s">
        <v>27</v>
      </c>
      <c r="N228" t="s">
        <v>106</v>
      </c>
    </row>
    <row r="229" spans="1:14">
      <c r="A229" t="s">
        <v>377</v>
      </c>
      <c r="B229" t="s">
        <v>31</v>
      </c>
      <c r="C229" t="s">
        <v>140</v>
      </c>
      <c r="D229" t="s">
        <v>20</v>
      </c>
      <c r="G229" t="s">
        <v>25</v>
      </c>
      <c r="H229" t="s">
        <v>25</v>
      </c>
      <c r="M229" t="s">
        <v>27</v>
      </c>
      <c r="N229" t="s">
        <v>106</v>
      </c>
    </row>
    <row r="230" spans="1:14">
      <c r="A230" t="s">
        <v>378</v>
      </c>
      <c r="B230" t="s">
        <v>31</v>
      </c>
      <c r="C230" t="s">
        <v>140</v>
      </c>
      <c r="D230" t="s">
        <v>20</v>
      </c>
      <c r="G230" t="s">
        <v>25</v>
      </c>
      <c r="H230" t="s">
        <v>25</v>
      </c>
      <c r="M230" t="s">
        <v>27</v>
      </c>
      <c r="N230" t="s">
        <v>106</v>
      </c>
    </row>
    <row r="231" spans="1:14">
      <c r="A231" t="s">
        <v>379</v>
      </c>
      <c r="B231" t="s">
        <v>31</v>
      </c>
      <c r="C231" t="s">
        <v>140</v>
      </c>
      <c r="D231" t="s">
        <v>20</v>
      </c>
      <c r="G231" t="s">
        <v>25</v>
      </c>
      <c r="H231" t="s">
        <v>25</v>
      </c>
      <c r="M231" t="s">
        <v>27</v>
      </c>
      <c r="N231" t="s">
        <v>106</v>
      </c>
    </row>
    <row r="232" spans="1:14">
      <c r="A232" t="s">
        <v>380</v>
      </c>
      <c r="B232" t="s">
        <v>31</v>
      </c>
      <c r="C232" t="s">
        <v>140</v>
      </c>
      <c r="D232" t="s">
        <v>20</v>
      </c>
      <c r="G232" t="s">
        <v>25</v>
      </c>
      <c r="H232" t="s">
        <v>25</v>
      </c>
      <c r="M232" t="s">
        <v>27</v>
      </c>
      <c r="N232" t="s">
        <v>106</v>
      </c>
    </row>
    <row r="233" spans="1:14">
      <c r="A233" t="s">
        <v>381</v>
      </c>
      <c r="B233" t="s">
        <v>31</v>
      </c>
      <c r="C233" t="s">
        <v>140</v>
      </c>
      <c r="D233" t="s">
        <v>20</v>
      </c>
      <c r="G233" t="s">
        <v>25</v>
      </c>
      <c r="H233" t="s">
        <v>25</v>
      </c>
      <c r="M233" t="s">
        <v>27</v>
      </c>
      <c r="N233" t="s">
        <v>106</v>
      </c>
    </row>
    <row r="234" spans="1:14">
      <c r="A234" t="s">
        <v>382</v>
      </c>
      <c r="B234" t="s">
        <v>31</v>
      </c>
      <c r="C234" t="s">
        <v>140</v>
      </c>
      <c r="D234" t="s">
        <v>20</v>
      </c>
      <c r="G234" t="s">
        <v>25</v>
      </c>
      <c r="H234" t="s">
        <v>25</v>
      </c>
      <c r="M234" t="s">
        <v>27</v>
      </c>
      <c r="N234" t="s">
        <v>106</v>
      </c>
    </row>
    <row r="235" spans="1:14">
      <c r="A235" t="s">
        <v>383</v>
      </c>
      <c r="B235" t="s">
        <v>31</v>
      </c>
      <c r="C235" t="s">
        <v>140</v>
      </c>
      <c r="D235" t="s">
        <v>20</v>
      </c>
      <c r="G235" t="s">
        <v>25</v>
      </c>
      <c r="H235" t="s">
        <v>25</v>
      </c>
      <c r="M235" t="s">
        <v>27</v>
      </c>
      <c r="N235" t="s">
        <v>106</v>
      </c>
    </row>
    <row r="236" spans="1:14">
      <c r="A236" t="s">
        <v>384</v>
      </c>
      <c r="B236" t="s">
        <v>31</v>
      </c>
      <c r="C236" t="s">
        <v>140</v>
      </c>
      <c r="D236" t="s">
        <v>20</v>
      </c>
      <c r="G236" t="s">
        <v>25</v>
      </c>
      <c r="H236" t="s">
        <v>25</v>
      </c>
      <c r="M236" t="s">
        <v>27</v>
      </c>
      <c r="N236" t="s">
        <v>106</v>
      </c>
    </row>
    <row r="237" spans="1:14">
      <c r="A237" t="s">
        <v>385</v>
      </c>
      <c r="B237" t="s">
        <v>31</v>
      </c>
      <c r="C237" t="s">
        <v>140</v>
      </c>
      <c r="D237" t="s">
        <v>20</v>
      </c>
      <c r="G237" t="s">
        <v>25</v>
      </c>
      <c r="H237" t="s">
        <v>25</v>
      </c>
      <c r="M237" t="s">
        <v>27</v>
      </c>
      <c r="N237" t="s">
        <v>106</v>
      </c>
    </row>
    <row r="238" spans="1:14">
      <c r="A238" t="s">
        <v>386</v>
      </c>
      <c r="B238" t="s">
        <v>31</v>
      </c>
      <c r="C238" t="s">
        <v>140</v>
      </c>
      <c r="D238" t="s">
        <v>20</v>
      </c>
      <c r="G238" t="s">
        <v>25</v>
      </c>
      <c r="H238" t="s">
        <v>25</v>
      </c>
      <c r="M238" t="s">
        <v>27</v>
      </c>
      <c r="N238" t="s">
        <v>106</v>
      </c>
    </row>
    <row r="239" spans="1:14">
      <c r="A239" t="s">
        <v>387</v>
      </c>
      <c r="B239" t="s">
        <v>31</v>
      </c>
      <c r="C239" t="s">
        <v>140</v>
      </c>
      <c r="D239" t="s">
        <v>20</v>
      </c>
      <c r="G239" t="s">
        <v>25</v>
      </c>
      <c r="H239" t="s">
        <v>25</v>
      </c>
      <c r="M239" t="s">
        <v>27</v>
      </c>
      <c r="N239" t="s">
        <v>106</v>
      </c>
    </row>
    <row r="240" spans="1:14">
      <c r="A240" t="s">
        <v>388</v>
      </c>
      <c r="B240" t="s">
        <v>31</v>
      </c>
      <c r="C240" t="s">
        <v>140</v>
      </c>
      <c r="D240" t="s">
        <v>20</v>
      </c>
      <c r="G240" t="s">
        <v>25</v>
      </c>
      <c r="H240" t="s">
        <v>25</v>
      </c>
      <c r="M240" t="s">
        <v>27</v>
      </c>
      <c r="N240" t="s">
        <v>106</v>
      </c>
    </row>
    <row r="241" spans="1:14">
      <c r="A241" t="s">
        <v>389</v>
      </c>
      <c r="B241" t="s">
        <v>31</v>
      </c>
      <c r="C241" t="s">
        <v>140</v>
      </c>
      <c r="D241" t="s">
        <v>20</v>
      </c>
      <c r="G241" t="s">
        <v>25</v>
      </c>
      <c r="H241" t="s">
        <v>25</v>
      </c>
      <c r="M241" t="s">
        <v>27</v>
      </c>
      <c r="N241" t="s">
        <v>106</v>
      </c>
    </row>
    <row r="242" spans="1:14">
      <c r="A242" t="s">
        <v>390</v>
      </c>
      <c r="B242" t="s">
        <v>31</v>
      </c>
      <c r="C242" t="s">
        <v>140</v>
      </c>
      <c r="D242" t="s">
        <v>20</v>
      </c>
      <c r="G242" t="s">
        <v>25</v>
      </c>
      <c r="H242" t="s">
        <v>25</v>
      </c>
      <c r="M242" t="s">
        <v>27</v>
      </c>
      <c r="N242" t="s">
        <v>106</v>
      </c>
    </row>
    <row r="243" spans="1:14">
      <c r="A243" t="s">
        <v>391</v>
      </c>
      <c r="B243" t="s">
        <v>31</v>
      </c>
      <c r="C243" t="s">
        <v>140</v>
      </c>
      <c r="D243" t="s">
        <v>20</v>
      </c>
      <c r="G243" t="s">
        <v>25</v>
      </c>
      <c r="H243" t="s">
        <v>25</v>
      </c>
      <c r="M243" t="s">
        <v>27</v>
      </c>
      <c r="N243" t="s">
        <v>106</v>
      </c>
    </row>
    <row r="244" spans="1:14">
      <c r="A244" t="s">
        <v>392</v>
      </c>
      <c r="B244" t="s">
        <v>31</v>
      </c>
      <c r="C244" t="s">
        <v>140</v>
      </c>
      <c r="D244" t="s">
        <v>20</v>
      </c>
      <c r="G244" t="s">
        <v>25</v>
      </c>
      <c r="H244" t="s">
        <v>25</v>
      </c>
      <c r="M244" t="s">
        <v>27</v>
      </c>
      <c r="N244" t="s">
        <v>106</v>
      </c>
    </row>
    <row r="245" spans="1:14">
      <c r="A245" t="s">
        <v>393</v>
      </c>
      <c r="B245" t="s">
        <v>31</v>
      </c>
      <c r="C245" t="s">
        <v>140</v>
      </c>
      <c r="D245" t="s">
        <v>20</v>
      </c>
      <c r="G245" t="s">
        <v>25</v>
      </c>
      <c r="H245" t="s">
        <v>25</v>
      </c>
      <c r="M245" t="s">
        <v>27</v>
      </c>
      <c r="N245" t="s">
        <v>106</v>
      </c>
    </row>
    <row r="246" spans="1:14">
      <c r="A246" t="s">
        <v>394</v>
      </c>
      <c r="B246" t="s">
        <v>31</v>
      </c>
      <c r="C246" t="s">
        <v>140</v>
      </c>
      <c r="D246" t="s">
        <v>20</v>
      </c>
      <c r="G246" t="s">
        <v>25</v>
      </c>
      <c r="H246" t="s">
        <v>25</v>
      </c>
      <c r="M246" t="s">
        <v>27</v>
      </c>
      <c r="N246" t="s">
        <v>106</v>
      </c>
    </row>
    <row r="247" spans="1:14">
      <c r="A247" t="s">
        <v>395</v>
      </c>
      <c r="B247" t="s">
        <v>31</v>
      </c>
      <c r="C247" t="s">
        <v>140</v>
      </c>
      <c r="D247" t="s">
        <v>20</v>
      </c>
      <c r="G247" t="s">
        <v>25</v>
      </c>
      <c r="H247" t="s">
        <v>25</v>
      </c>
      <c r="M247" t="s">
        <v>27</v>
      </c>
      <c r="N247" t="s">
        <v>106</v>
      </c>
    </row>
    <row r="248" spans="1:14">
      <c r="A248" t="s">
        <v>396</v>
      </c>
      <c r="B248" t="s">
        <v>31</v>
      </c>
      <c r="C248" t="s">
        <v>140</v>
      </c>
      <c r="D248" t="s">
        <v>20</v>
      </c>
      <c r="G248" t="s">
        <v>25</v>
      </c>
      <c r="H248" t="s">
        <v>25</v>
      </c>
      <c r="M248" t="s">
        <v>27</v>
      </c>
      <c r="N248" t="s">
        <v>106</v>
      </c>
    </row>
    <row r="249" spans="1:14">
      <c r="A249" t="s">
        <v>397</v>
      </c>
      <c r="B249" t="s">
        <v>31</v>
      </c>
      <c r="C249" t="s">
        <v>140</v>
      </c>
      <c r="D249" t="s">
        <v>20</v>
      </c>
      <c r="G249" t="s">
        <v>25</v>
      </c>
      <c r="H249" t="s">
        <v>25</v>
      </c>
      <c r="M249" t="s">
        <v>27</v>
      </c>
      <c r="N249" t="s">
        <v>106</v>
      </c>
    </row>
    <row r="250" spans="1:14">
      <c r="A250" t="s">
        <v>398</v>
      </c>
      <c r="B250" t="s">
        <v>31</v>
      </c>
      <c r="C250" t="s">
        <v>140</v>
      </c>
      <c r="D250" t="s">
        <v>20</v>
      </c>
      <c r="G250" t="s">
        <v>25</v>
      </c>
      <c r="H250" t="s">
        <v>25</v>
      </c>
      <c r="M250" t="s">
        <v>27</v>
      </c>
      <c r="N250" t="s">
        <v>106</v>
      </c>
    </row>
    <row r="251" spans="1:14">
      <c r="A251" t="s">
        <v>399</v>
      </c>
      <c r="B251" t="s">
        <v>31</v>
      </c>
      <c r="C251" t="s">
        <v>140</v>
      </c>
      <c r="D251" t="s">
        <v>20</v>
      </c>
      <c r="G251" t="s">
        <v>25</v>
      </c>
      <c r="H251" t="s">
        <v>25</v>
      </c>
      <c r="M251" t="s">
        <v>27</v>
      </c>
      <c r="N251" t="s">
        <v>106</v>
      </c>
    </row>
    <row r="252" spans="1:14">
      <c r="A252" t="s">
        <v>400</v>
      </c>
      <c r="B252" t="s">
        <v>31</v>
      </c>
      <c r="C252" t="s">
        <v>140</v>
      </c>
      <c r="D252" t="s">
        <v>20</v>
      </c>
      <c r="G252" t="s">
        <v>25</v>
      </c>
      <c r="H252" t="s">
        <v>25</v>
      </c>
      <c r="M252" t="s">
        <v>27</v>
      </c>
      <c r="N252" t="s">
        <v>106</v>
      </c>
    </row>
    <row r="253" spans="1:14">
      <c r="A253" t="s">
        <v>401</v>
      </c>
      <c r="B253" t="s">
        <v>31</v>
      </c>
      <c r="C253" t="s">
        <v>140</v>
      </c>
      <c r="D253" t="s">
        <v>20</v>
      </c>
      <c r="G253" t="s">
        <v>25</v>
      </c>
      <c r="H253" t="s">
        <v>25</v>
      </c>
      <c r="M253" t="s">
        <v>27</v>
      </c>
      <c r="N253" t="s">
        <v>106</v>
      </c>
    </row>
    <row r="254" spans="1:14">
      <c r="A254" t="s">
        <v>402</v>
      </c>
      <c r="B254" t="s">
        <v>31</v>
      </c>
      <c r="C254" t="s">
        <v>140</v>
      </c>
      <c r="D254" t="s">
        <v>20</v>
      </c>
      <c r="G254" t="s">
        <v>25</v>
      </c>
      <c r="H254" t="s">
        <v>25</v>
      </c>
      <c r="M254" t="s">
        <v>27</v>
      </c>
      <c r="N254" t="s">
        <v>106</v>
      </c>
    </row>
    <row r="255" spans="1:14">
      <c r="A255" t="s">
        <v>403</v>
      </c>
      <c r="B255" t="s">
        <v>31</v>
      </c>
      <c r="C255" t="s">
        <v>140</v>
      </c>
      <c r="D255" t="s">
        <v>20</v>
      </c>
      <c r="G255" t="s">
        <v>25</v>
      </c>
      <c r="H255" t="s">
        <v>25</v>
      </c>
      <c r="M255" t="s">
        <v>27</v>
      </c>
      <c r="N255" t="s">
        <v>106</v>
      </c>
    </row>
    <row r="256" spans="1:14">
      <c r="A256" t="s">
        <v>404</v>
      </c>
      <c r="B256" t="s">
        <v>31</v>
      </c>
      <c r="C256" t="s">
        <v>140</v>
      </c>
      <c r="D256" t="s">
        <v>20</v>
      </c>
      <c r="G256" t="s">
        <v>25</v>
      </c>
      <c r="H256" t="s">
        <v>25</v>
      </c>
      <c r="M256" t="s">
        <v>27</v>
      </c>
      <c r="N256" t="s">
        <v>106</v>
      </c>
    </row>
    <row r="257" spans="1:14">
      <c r="A257" t="s">
        <v>405</v>
      </c>
      <c r="B257" t="s">
        <v>31</v>
      </c>
      <c r="C257" t="s">
        <v>140</v>
      </c>
      <c r="D257" t="s">
        <v>20</v>
      </c>
      <c r="G257" t="s">
        <v>25</v>
      </c>
      <c r="H257" t="s">
        <v>25</v>
      </c>
      <c r="M257" t="s">
        <v>27</v>
      </c>
      <c r="N257" t="s">
        <v>106</v>
      </c>
    </row>
    <row r="258" spans="1:14">
      <c r="A258" t="s">
        <v>406</v>
      </c>
      <c r="B258" t="s">
        <v>31</v>
      </c>
      <c r="C258" t="s">
        <v>140</v>
      </c>
      <c r="D258" t="s">
        <v>20</v>
      </c>
      <c r="G258" t="s">
        <v>25</v>
      </c>
      <c r="H258" t="s">
        <v>25</v>
      </c>
      <c r="M258" t="s">
        <v>27</v>
      </c>
      <c r="N258" t="s">
        <v>106</v>
      </c>
    </row>
    <row r="259" spans="1:14">
      <c r="A259" t="s">
        <v>407</v>
      </c>
      <c r="B259" t="s">
        <v>31</v>
      </c>
      <c r="C259" t="s">
        <v>140</v>
      </c>
      <c r="D259" t="s">
        <v>20</v>
      </c>
      <c r="G259" t="s">
        <v>25</v>
      </c>
      <c r="H259" t="s">
        <v>25</v>
      </c>
      <c r="M259" t="s">
        <v>27</v>
      </c>
      <c r="N259" t="s">
        <v>106</v>
      </c>
    </row>
    <row r="260" spans="1:14">
      <c r="A260" t="s">
        <v>408</v>
      </c>
      <c r="B260" t="s">
        <v>31</v>
      </c>
      <c r="C260" t="s">
        <v>140</v>
      </c>
      <c r="D260" t="s">
        <v>20</v>
      </c>
      <c r="G260" t="s">
        <v>25</v>
      </c>
      <c r="H260" t="s">
        <v>25</v>
      </c>
      <c r="M260" t="s">
        <v>27</v>
      </c>
      <c r="N260" t="s">
        <v>106</v>
      </c>
    </row>
    <row r="261" spans="1:14">
      <c r="A261" t="s">
        <v>409</v>
      </c>
      <c r="B261" t="s">
        <v>31</v>
      </c>
      <c r="C261" t="s">
        <v>140</v>
      </c>
      <c r="D261" t="s">
        <v>20</v>
      </c>
      <c r="G261" t="s">
        <v>25</v>
      </c>
      <c r="H261" t="s">
        <v>25</v>
      </c>
      <c r="M261" t="s">
        <v>27</v>
      </c>
      <c r="N261" t="s">
        <v>106</v>
      </c>
    </row>
    <row r="262" spans="1:14">
      <c r="A262" t="s">
        <v>410</v>
      </c>
      <c r="B262" t="s">
        <v>31</v>
      </c>
      <c r="C262" t="s">
        <v>140</v>
      </c>
      <c r="D262" t="s">
        <v>20</v>
      </c>
      <c r="G262" t="s">
        <v>25</v>
      </c>
      <c r="H262" t="s">
        <v>25</v>
      </c>
      <c r="M262" t="s">
        <v>27</v>
      </c>
      <c r="N262" t="s">
        <v>106</v>
      </c>
    </row>
    <row r="263" spans="1:14">
      <c r="A263" t="s">
        <v>411</v>
      </c>
      <c r="B263" t="s">
        <v>31</v>
      </c>
      <c r="C263" t="s">
        <v>140</v>
      </c>
      <c r="D263" t="s">
        <v>20</v>
      </c>
      <c r="G263" t="s">
        <v>25</v>
      </c>
      <c r="H263" t="s">
        <v>25</v>
      </c>
      <c r="M263" t="s">
        <v>27</v>
      </c>
      <c r="N263" t="s">
        <v>106</v>
      </c>
    </row>
    <row r="264" spans="1:14">
      <c r="A264" t="s">
        <v>412</v>
      </c>
      <c r="B264" t="s">
        <v>31</v>
      </c>
      <c r="C264" t="s">
        <v>140</v>
      </c>
      <c r="D264" t="s">
        <v>20</v>
      </c>
      <c r="G264" t="s">
        <v>25</v>
      </c>
      <c r="H264" t="s">
        <v>25</v>
      </c>
      <c r="M264" t="s">
        <v>27</v>
      </c>
      <c r="N264" t="s">
        <v>106</v>
      </c>
    </row>
    <row r="265" spans="1:14">
      <c r="A265" t="s">
        <v>413</v>
      </c>
      <c r="B265" t="s">
        <v>31</v>
      </c>
      <c r="C265" t="s">
        <v>140</v>
      </c>
      <c r="D265" t="s">
        <v>20</v>
      </c>
      <c r="G265" t="s">
        <v>25</v>
      </c>
      <c r="H265" t="s">
        <v>25</v>
      </c>
      <c r="M265" t="s">
        <v>27</v>
      </c>
      <c r="N265" t="s">
        <v>106</v>
      </c>
    </row>
    <row r="266" spans="1:14">
      <c r="A266" t="s">
        <v>414</v>
      </c>
      <c r="B266" t="s">
        <v>31</v>
      </c>
      <c r="C266" t="s">
        <v>140</v>
      </c>
      <c r="D266" t="s">
        <v>20</v>
      </c>
      <c r="G266" t="s">
        <v>25</v>
      </c>
      <c r="H266" t="s">
        <v>25</v>
      </c>
      <c r="M266" t="s">
        <v>27</v>
      </c>
      <c r="N266" t="s">
        <v>106</v>
      </c>
    </row>
    <row r="267" spans="1:14">
      <c r="A267" t="s">
        <v>415</v>
      </c>
      <c r="B267" t="s">
        <v>31</v>
      </c>
      <c r="C267" t="s">
        <v>140</v>
      </c>
      <c r="D267" t="s">
        <v>20</v>
      </c>
      <c r="G267" t="s">
        <v>25</v>
      </c>
      <c r="H267" t="s">
        <v>25</v>
      </c>
      <c r="M267" t="s">
        <v>27</v>
      </c>
      <c r="N267" t="s">
        <v>106</v>
      </c>
    </row>
    <row r="268" spans="1:14">
      <c r="A268" t="s">
        <v>416</v>
      </c>
      <c r="B268" t="s">
        <v>31</v>
      </c>
      <c r="C268" t="s">
        <v>140</v>
      </c>
      <c r="D268" t="s">
        <v>20</v>
      </c>
      <c r="G268" t="s">
        <v>25</v>
      </c>
      <c r="H268" t="s">
        <v>25</v>
      </c>
      <c r="M268" t="s">
        <v>27</v>
      </c>
      <c r="N268" t="s">
        <v>106</v>
      </c>
    </row>
    <row r="269" spans="1:14">
      <c r="A269" t="s">
        <v>417</v>
      </c>
      <c r="B269" t="s">
        <v>31</v>
      </c>
      <c r="C269" t="s">
        <v>140</v>
      </c>
      <c r="D269" t="s">
        <v>20</v>
      </c>
      <c r="G269" t="s">
        <v>25</v>
      </c>
      <c r="H269" t="s">
        <v>25</v>
      </c>
      <c r="M269" t="s">
        <v>27</v>
      </c>
      <c r="N269" t="s">
        <v>106</v>
      </c>
    </row>
    <row r="270" spans="1:14">
      <c r="A270" t="s">
        <v>418</v>
      </c>
      <c r="B270" t="s">
        <v>31</v>
      </c>
      <c r="C270" t="s">
        <v>140</v>
      </c>
      <c r="D270" t="s">
        <v>20</v>
      </c>
      <c r="G270" t="s">
        <v>25</v>
      </c>
      <c r="H270" t="s">
        <v>25</v>
      </c>
      <c r="M270" t="s">
        <v>27</v>
      </c>
      <c r="N270" t="s">
        <v>106</v>
      </c>
    </row>
    <row r="271" spans="1:14">
      <c r="A271" t="s">
        <v>419</v>
      </c>
      <c r="B271" t="s">
        <v>31</v>
      </c>
      <c r="C271" t="s">
        <v>140</v>
      </c>
      <c r="D271" t="s">
        <v>20</v>
      </c>
      <c r="G271" t="s">
        <v>25</v>
      </c>
      <c r="H271" t="s">
        <v>25</v>
      </c>
      <c r="M271" t="s">
        <v>27</v>
      </c>
      <c r="N271" t="s">
        <v>106</v>
      </c>
    </row>
    <row r="272" spans="1:14">
      <c r="A272" t="s">
        <v>420</v>
      </c>
      <c r="B272" t="s">
        <v>31</v>
      </c>
      <c r="C272" t="s">
        <v>140</v>
      </c>
      <c r="D272" t="s">
        <v>20</v>
      </c>
      <c r="G272" t="s">
        <v>25</v>
      </c>
      <c r="H272" t="s">
        <v>25</v>
      </c>
      <c r="M272" t="s">
        <v>27</v>
      </c>
      <c r="N272" t="s">
        <v>106</v>
      </c>
    </row>
    <row r="273" spans="1:14">
      <c r="A273" t="s">
        <v>421</v>
      </c>
      <c r="B273" t="s">
        <v>31</v>
      </c>
      <c r="C273" t="s">
        <v>140</v>
      </c>
      <c r="D273" t="s">
        <v>20</v>
      </c>
      <c r="G273" t="s">
        <v>25</v>
      </c>
      <c r="H273" t="s">
        <v>25</v>
      </c>
      <c r="M273" t="s">
        <v>27</v>
      </c>
      <c r="N273" t="s">
        <v>106</v>
      </c>
    </row>
    <row r="274" spans="1:14">
      <c r="A274" t="s">
        <v>422</v>
      </c>
      <c r="B274" t="s">
        <v>31</v>
      </c>
      <c r="C274" t="s">
        <v>140</v>
      </c>
      <c r="D274" t="s">
        <v>20</v>
      </c>
      <c r="G274" t="s">
        <v>25</v>
      </c>
      <c r="H274" t="s">
        <v>25</v>
      </c>
      <c r="M274" t="s">
        <v>27</v>
      </c>
      <c r="N274" t="s">
        <v>106</v>
      </c>
    </row>
    <row r="275" spans="1:14">
      <c r="A275" t="s">
        <v>423</v>
      </c>
      <c r="B275" t="s">
        <v>31</v>
      </c>
      <c r="C275" t="s">
        <v>140</v>
      </c>
      <c r="D275" t="s">
        <v>20</v>
      </c>
      <c r="G275" t="s">
        <v>25</v>
      </c>
      <c r="H275" t="s">
        <v>25</v>
      </c>
      <c r="M275" t="s">
        <v>27</v>
      </c>
      <c r="N275" t="s">
        <v>106</v>
      </c>
    </row>
    <row r="276" spans="1:14">
      <c r="A276" t="s">
        <v>424</v>
      </c>
      <c r="B276" t="s">
        <v>31</v>
      </c>
      <c r="C276" t="s">
        <v>140</v>
      </c>
      <c r="D276" t="s">
        <v>20</v>
      </c>
      <c r="G276" t="s">
        <v>25</v>
      </c>
      <c r="H276" t="s">
        <v>25</v>
      </c>
      <c r="M276" t="s">
        <v>27</v>
      </c>
      <c r="N276" t="s">
        <v>106</v>
      </c>
    </row>
    <row r="277" spans="1:14">
      <c r="A277" t="s">
        <v>425</v>
      </c>
      <c r="B277" t="s">
        <v>31</v>
      </c>
      <c r="C277" t="s">
        <v>140</v>
      </c>
      <c r="D277" t="s">
        <v>20</v>
      </c>
      <c r="G277" t="s">
        <v>25</v>
      </c>
      <c r="H277" t="s">
        <v>25</v>
      </c>
      <c r="M277" t="s">
        <v>27</v>
      </c>
      <c r="N277" t="s">
        <v>106</v>
      </c>
    </row>
    <row r="278" spans="1:14">
      <c r="A278" t="s">
        <v>426</v>
      </c>
      <c r="B278" t="s">
        <v>31</v>
      </c>
      <c r="C278" t="s">
        <v>140</v>
      </c>
      <c r="D278" t="s">
        <v>20</v>
      </c>
      <c r="G278" t="s">
        <v>25</v>
      </c>
      <c r="H278" t="s">
        <v>25</v>
      </c>
      <c r="M278" t="s">
        <v>27</v>
      </c>
      <c r="N278" t="s">
        <v>106</v>
      </c>
    </row>
    <row r="279" spans="1:14">
      <c r="A279" t="s">
        <v>427</v>
      </c>
      <c r="B279" t="s">
        <v>31</v>
      </c>
      <c r="C279" t="s">
        <v>140</v>
      </c>
      <c r="D279" t="s">
        <v>20</v>
      </c>
      <c r="G279" t="s">
        <v>25</v>
      </c>
      <c r="H279" t="s">
        <v>25</v>
      </c>
      <c r="M279" t="s">
        <v>27</v>
      </c>
      <c r="N279" t="s">
        <v>106</v>
      </c>
    </row>
    <row r="280" spans="1:14">
      <c r="A280" t="s">
        <v>428</v>
      </c>
      <c r="B280" t="s">
        <v>31</v>
      </c>
      <c r="C280" t="s">
        <v>140</v>
      </c>
      <c r="D280" t="s">
        <v>20</v>
      </c>
      <c r="G280" t="s">
        <v>25</v>
      </c>
      <c r="H280" t="s">
        <v>25</v>
      </c>
      <c r="M280" t="s">
        <v>27</v>
      </c>
      <c r="N280" t="s">
        <v>106</v>
      </c>
    </row>
    <row r="281" spans="1:14">
      <c r="A281" t="s">
        <v>429</v>
      </c>
      <c r="B281" t="s">
        <v>31</v>
      </c>
      <c r="C281" t="s">
        <v>140</v>
      </c>
      <c r="D281" t="s">
        <v>20</v>
      </c>
      <c r="G281" t="s">
        <v>25</v>
      </c>
      <c r="H281" t="s">
        <v>25</v>
      </c>
      <c r="M281" t="s">
        <v>27</v>
      </c>
      <c r="N281" t="s">
        <v>106</v>
      </c>
    </row>
    <row r="282" spans="1:14">
      <c r="A282" t="s">
        <v>430</v>
      </c>
      <c r="B282" t="s">
        <v>31</v>
      </c>
      <c r="C282" t="s">
        <v>140</v>
      </c>
      <c r="D282" t="s">
        <v>20</v>
      </c>
      <c r="G282" t="s">
        <v>25</v>
      </c>
      <c r="H282" t="s">
        <v>25</v>
      </c>
      <c r="M282" t="s">
        <v>27</v>
      </c>
      <c r="N282" t="s">
        <v>106</v>
      </c>
    </row>
    <row r="283" spans="1:14">
      <c r="A283" t="s">
        <v>431</v>
      </c>
      <c r="B283" t="s">
        <v>31</v>
      </c>
      <c r="C283" t="s">
        <v>140</v>
      </c>
      <c r="D283" t="s">
        <v>20</v>
      </c>
      <c r="G283" t="s">
        <v>25</v>
      </c>
      <c r="H283" t="s">
        <v>25</v>
      </c>
      <c r="M283" t="s">
        <v>27</v>
      </c>
      <c r="N283" t="s">
        <v>106</v>
      </c>
    </row>
    <row r="284" spans="1:14">
      <c r="A284" t="s">
        <v>432</v>
      </c>
      <c r="B284" t="s">
        <v>31</v>
      </c>
      <c r="C284" t="s">
        <v>140</v>
      </c>
      <c r="D284" t="s">
        <v>20</v>
      </c>
      <c r="G284" t="s">
        <v>25</v>
      </c>
      <c r="H284" t="s">
        <v>25</v>
      </c>
      <c r="M284" t="s">
        <v>27</v>
      </c>
      <c r="N284" t="s">
        <v>106</v>
      </c>
    </row>
    <row r="285" spans="1:14">
      <c r="A285" t="s">
        <v>433</v>
      </c>
      <c r="B285" t="s">
        <v>31</v>
      </c>
      <c r="C285" t="s">
        <v>140</v>
      </c>
      <c r="D285" t="s">
        <v>20</v>
      </c>
      <c r="G285" t="s">
        <v>25</v>
      </c>
      <c r="H285" t="s">
        <v>25</v>
      </c>
      <c r="M285" t="s">
        <v>27</v>
      </c>
      <c r="N285" t="s">
        <v>106</v>
      </c>
    </row>
    <row r="286" spans="1:14">
      <c r="A286" t="s">
        <v>434</v>
      </c>
      <c r="B286" t="s">
        <v>31</v>
      </c>
      <c r="C286" t="s">
        <v>140</v>
      </c>
      <c r="D286" t="s">
        <v>20</v>
      </c>
      <c r="G286" t="s">
        <v>25</v>
      </c>
      <c r="H286" t="s">
        <v>25</v>
      </c>
      <c r="M286" t="s">
        <v>27</v>
      </c>
      <c r="N286" t="s">
        <v>106</v>
      </c>
    </row>
    <row r="287" spans="1:14">
      <c r="A287" t="s">
        <v>435</v>
      </c>
      <c r="B287" t="s">
        <v>31</v>
      </c>
      <c r="C287" t="s">
        <v>140</v>
      </c>
      <c r="D287" t="s">
        <v>20</v>
      </c>
      <c r="G287" t="s">
        <v>25</v>
      </c>
      <c r="H287" t="s">
        <v>25</v>
      </c>
      <c r="M287" t="s">
        <v>27</v>
      </c>
      <c r="N287" t="s">
        <v>106</v>
      </c>
    </row>
    <row r="288" spans="1:14">
      <c r="A288" t="s">
        <v>436</v>
      </c>
      <c r="B288" t="s">
        <v>31</v>
      </c>
      <c r="C288" t="s">
        <v>140</v>
      </c>
      <c r="D288" t="s">
        <v>20</v>
      </c>
      <c r="G288" t="s">
        <v>25</v>
      </c>
      <c r="H288" t="s">
        <v>25</v>
      </c>
      <c r="M288" t="s">
        <v>27</v>
      </c>
      <c r="N288" t="s">
        <v>106</v>
      </c>
    </row>
    <row r="289" spans="1:17">
      <c r="A289" t="s">
        <v>437</v>
      </c>
      <c r="B289" t="s">
        <v>31</v>
      </c>
      <c r="C289" t="s">
        <v>140</v>
      </c>
      <c r="D289" t="s">
        <v>20</v>
      </c>
      <c r="G289" t="s">
        <v>25</v>
      </c>
      <c r="H289" t="s">
        <v>25</v>
      </c>
      <c r="M289" t="s">
        <v>27</v>
      </c>
      <c r="N289" t="s">
        <v>106</v>
      </c>
    </row>
    <row r="290" spans="1:17">
      <c r="A290" t="s">
        <v>438</v>
      </c>
      <c r="B290" t="s">
        <v>31</v>
      </c>
      <c r="C290" t="s">
        <v>140</v>
      </c>
      <c r="D290" t="s">
        <v>20</v>
      </c>
      <c r="G290" t="s">
        <v>25</v>
      </c>
      <c r="H290" t="s">
        <v>25</v>
      </c>
      <c r="M290" t="s">
        <v>54</v>
      </c>
      <c r="N290" t="s">
        <v>64</v>
      </c>
    </row>
    <row r="291" spans="1:17">
      <c r="A291" t="s">
        <v>439</v>
      </c>
      <c r="B291" t="s">
        <v>31</v>
      </c>
      <c r="C291" t="s">
        <v>440</v>
      </c>
      <c r="D291" t="s">
        <v>36</v>
      </c>
      <c r="G291" t="s">
        <v>25</v>
      </c>
      <c r="H291" t="s">
        <v>25</v>
      </c>
      <c r="M291" t="s">
        <v>47</v>
      </c>
      <c r="N291" t="s">
        <v>40</v>
      </c>
    </row>
    <row r="292" spans="1:17" s="4" customFormat="1">
      <c r="A292" s="4" t="s">
        <v>441</v>
      </c>
      <c r="B292" s="4" t="s">
        <v>18</v>
      </c>
      <c r="C292" s="4" t="s">
        <v>440</v>
      </c>
      <c r="D292" s="4" t="s">
        <v>36</v>
      </c>
      <c r="E292" s="4" t="s">
        <v>191</v>
      </c>
      <c r="F292" s="4" t="s">
        <v>442</v>
      </c>
      <c r="G292" s="4" t="s">
        <v>25</v>
      </c>
      <c r="H292" s="4" t="s">
        <v>23</v>
      </c>
      <c r="I292" s="4" t="s">
        <v>23</v>
      </c>
      <c r="J292" s="4" t="s">
        <v>45</v>
      </c>
      <c r="K292" s="4" t="s">
        <v>23</v>
      </c>
      <c r="M292" s="4" t="s">
        <v>27</v>
      </c>
      <c r="N292" s="4" t="s">
        <v>106</v>
      </c>
      <c r="O292" s="5" t="s">
        <v>443</v>
      </c>
      <c r="P292" s="4" t="s">
        <v>23</v>
      </c>
      <c r="Q292" s="4">
        <v>3</v>
      </c>
    </row>
    <row r="293" spans="1:17">
      <c r="A293" t="s">
        <v>444</v>
      </c>
      <c r="B293" t="s">
        <v>18</v>
      </c>
      <c r="C293" t="s">
        <v>140</v>
      </c>
      <c r="D293" t="s">
        <v>59</v>
      </c>
      <c r="F293" t="s">
        <v>114</v>
      </c>
      <c r="G293" t="s">
        <v>25</v>
      </c>
      <c r="H293" t="s">
        <v>25</v>
      </c>
      <c r="M293" t="s">
        <v>27</v>
      </c>
      <c r="N293" t="s">
        <v>106</v>
      </c>
    </row>
    <row r="294" spans="1:17" s="4" customFormat="1">
      <c r="A294" s="4" t="s">
        <v>445</v>
      </c>
      <c r="B294" s="4" t="s">
        <v>18</v>
      </c>
      <c r="C294" s="4" t="s">
        <v>440</v>
      </c>
      <c r="D294" s="4" t="s">
        <v>20</v>
      </c>
      <c r="E294" s="4" t="s">
        <v>32</v>
      </c>
      <c r="F294" s="4" t="s">
        <v>442</v>
      </c>
      <c r="G294" s="4" t="s">
        <v>25</v>
      </c>
      <c r="H294" s="4" t="s">
        <v>23</v>
      </c>
      <c r="I294" s="4" t="s">
        <v>23</v>
      </c>
      <c r="J294" s="4" t="s">
        <v>45</v>
      </c>
      <c r="K294" s="4" t="s">
        <v>25</v>
      </c>
      <c r="M294" s="4" t="s">
        <v>47</v>
      </c>
      <c r="N294" s="4" t="s">
        <v>28</v>
      </c>
      <c r="O294" s="5" t="s">
        <v>446</v>
      </c>
      <c r="P294" s="4" t="s">
        <v>23</v>
      </c>
      <c r="Q294" s="4">
        <v>3</v>
      </c>
    </row>
    <row r="295" spans="1:17" s="4" customFormat="1">
      <c r="A295" s="4" t="s">
        <v>447</v>
      </c>
      <c r="B295" s="4" t="s">
        <v>18</v>
      </c>
      <c r="C295" s="4" t="s">
        <v>440</v>
      </c>
      <c r="D295" s="4" t="s">
        <v>20</v>
      </c>
      <c r="E295" s="4" t="s">
        <v>19</v>
      </c>
      <c r="F295" s="4" t="s">
        <v>442</v>
      </c>
      <c r="G295" s="4" t="s">
        <v>25</v>
      </c>
      <c r="H295" s="4" t="s">
        <v>23</v>
      </c>
      <c r="I295" s="4" t="s">
        <v>23</v>
      </c>
      <c r="J295" s="4" t="s">
        <v>45</v>
      </c>
      <c r="K295" s="4" t="s">
        <v>25</v>
      </c>
      <c r="L295" s="4" t="s">
        <v>448</v>
      </c>
      <c r="M295" s="4" t="s">
        <v>47</v>
      </c>
      <c r="N295" s="4" t="s">
        <v>106</v>
      </c>
      <c r="O295" s="5" t="s">
        <v>449</v>
      </c>
      <c r="P295" s="4" t="s">
        <v>23</v>
      </c>
      <c r="Q295" s="4">
        <v>3</v>
      </c>
    </row>
    <row r="296" spans="1:17" s="4" customFormat="1">
      <c r="A296" s="4" t="s">
        <v>450</v>
      </c>
      <c r="B296" s="4" t="s">
        <v>18</v>
      </c>
      <c r="C296" s="4" t="s">
        <v>440</v>
      </c>
      <c r="D296" s="4" t="s">
        <v>20</v>
      </c>
      <c r="E296" s="4" t="s">
        <v>37</v>
      </c>
      <c r="F296" s="4" t="s">
        <v>442</v>
      </c>
      <c r="G296" s="4" t="s">
        <v>25</v>
      </c>
      <c r="H296" s="4" t="s">
        <v>23</v>
      </c>
      <c r="I296" s="4" t="s">
        <v>23</v>
      </c>
      <c r="J296" s="4" t="s">
        <v>45</v>
      </c>
      <c r="K296" s="4" t="s">
        <v>23</v>
      </c>
      <c r="L296" s="4" t="s">
        <v>451</v>
      </c>
      <c r="M296" s="4" t="s">
        <v>47</v>
      </c>
      <c r="N296" s="4" t="s">
        <v>28</v>
      </c>
      <c r="O296" s="5" t="s">
        <v>452</v>
      </c>
      <c r="P296" s="4" t="s">
        <v>23</v>
      </c>
      <c r="Q296" s="4">
        <v>3</v>
      </c>
    </row>
    <row r="297" spans="1:17" s="4" customFormat="1">
      <c r="A297" s="4" t="s">
        <v>453</v>
      </c>
      <c r="B297" s="4" t="s">
        <v>18</v>
      </c>
      <c r="C297" s="4" t="s">
        <v>440</v>
      </c>
      <c r="D297" s="4" t="s">
        <v>20</v>
      </c>
      <c r="E297" s="4" t="s">
        <v>37</v>
      </c>
      <c r="F297" s="4" t="s">
        <v>442</v>
      </c>
      <c r="G297" s="4" t="s">
        <v>25</v>
      </c>
      <c r="H297" s="4" t="s">
        <v>23</v>
      </c>
      <c r="I297" s="4" t="s">
        <v>23</v>
      </c>
      <c r="J297" s="4" t="s">
        <v>45</v>
      </c>
      <c r="K297" s="4" t="s">
        <v>25</v>
      </c>
      <c r="L297" s="4" t="s">
        <v>454</v>
      </c>
      <c r="M297" s="4" t="s">
        <v>47</v>
      </c>
      <c r="N297" s="4" t="s">
        <v>28</v>
      </c>
      <c r="O297" s="5" t="s">
        <v>455</v>
      </c>
      <c r="P297" s="4" t="s">
        <v>23</v>
      </c>
      <c r="Q297" s="4">
        <v>3</v>
      </c>
    </row>
    <row r="298" spans="1:17" s="4" customFormat="1">
      <c r="A298" s="4" t="s">
        <v>456</v>
      </c>
      <c r="B298" s="4" t="s">
        <v>18</v>
      </c>
      <c r="C298" s="4" t="s">
        <v>440</v>
      </c>
      <c r="D298" s="4" t="s">
        <v>20</v>
      </c>
      <c r="E298" s="4" t="s">
        <v>32</v>
      </c>
      <c r="F298" s="4" t="s">
        <v>442</v>
      </c>
      <c r="G298" s="4" t="s">
        <v>25</v>
      </c>
      <c r="H298" s="4" t="s">
        <v>23</v>
      </c>
      <c r="I298" s="4" t="s">
        <v>23</v>
      </c>
      <c r="J298" s="4" t="s">
        <v>45</v>
      </c>
      <c r="K298" s="4" t="s">
        <v>23</v>
      </c>
      <c r="L298" s="4" t="s">
        <v>457</v>
      </c>
      <c r="M298" s="4" t="s">
        <v>47</v>
      </c>
      <c r="N298" s="4" t="s">
        <v>28</v>
      </c>
      <c r="O298" s="5" t="s">
        <v>458</v>
      </c>
      <c r="P298" s="4" t="s">
        <v>23</v>
      </c>
      <c r="Q298" s="4">
        <v>3</v>
      </c>
    </row>
    <row r="299" spans="1:17" s="4" customFormat="1">
      <c r="A299" s="4" t="s">
        <v>459</v>
      </c>
      <c r="B299" s="4" t="s">
        <v>18</v>
      </c>
      <c r="C299" s="4" t="s">
        <v>440</v>
      </c>
      <c r="D299" s="4" t="s">
        <v>20</v>
      </c>
      <c r="E299" s="4" t="s">
        <v>191</v>
      </c>
      <c r="F299" s="4" t="s">
        <v>442</v>
      </c>
      <c r="G299" s="4" t="s">
        <v>25</v>
      </c>
      <c r="H299" s="4" t="s">
        <v>23</v>
      </c>
      <c r="I299" s="4" t="s">
        <v>23</v>
      </c>
      <c r="J299" s="4" t="s">
        <v>45</v>
      </c>
      <c r="K299" s="4" t="s">
        <v>25</v>
      </c>
      <c r="L299" s="4" t="s">
        <v>460</v>
      </c>
      <c r="M299" s="4" t="s">
        <v>47</v>
      </c>
      <c r="N299" s="4" t="s">
        <v>28</v>
      </c>
      <c r="O299" s="5" t="s">
        <v>461</v>
      </c>
      <c r="P299" s="4" t="s">
        <v>23</v>
      </c>
      <c r="Q299" s="4">
        <v>3</v>
      </c>
    </row>
    <row r="300" spans="1:17" s="4" customFormat="1">
      <c r="A300" s="4" t="s">
        <v>462</v>
      </c>
      <c r="B300" s="4" t="s">
        <v>18</v>
      </c>
      <c r="C300" s="4" t="s">
        <v>440</v>
      </c>
      <c r="D300" s="4" t="s">
        <v>20</v>
      </c>
      <c r="E300" s="4" t="s">
        <v>32</v>
      </c>
      <c r="F300" s="4" t="s">
        <v>442</v>
      </c>
      <c r="G300" s="4" t="s">
        <v>25</v>
      </c>
      <c r="H300" s="4" t="s">
        <v>23</v>
      </c>
      <c r="I300" s="4" t="s">
        <v>23</v>
      </c>
      <c r="J300" s="4" t="s">
        <v>45</v>
      </c>
      <c r="K300" s="4" t="s">
        <v>23</v>
      </c>
      <c r="L300" s="4" t="s">
        <v>463</v>
      </c>
      <c r="M300" s="4" t="s">
        <v>47</v>
      </c>
      <c r="N300" s="4" t="s">
        <v>28</v>
      </c>
      <c r="O300" s="5" t="s">
        <v>464</v>
      </c>
      <c r="P300" s="4" t="s">
        <v>23</v>
      </c>
      <c r="Q300" s="4">
        <v>3</v>
      </c>
    </row>
    <row r="301" spans="1:17" s="4" customFormat="1">
      <c r="A301" s="4" t="s">
        <v>465</v>
      </c>
      <c r="B301" s="4" t="s">
        <v>18</v>
      </c>
      <c r="C301" s="4" t="s">
        <v>440</v>
      </c>
      <c r="D301" s="4" t="s">
        <v>20</v>
      </c>
      <c r="E301" s="4" t="s">
        <v>37</v>
      </c>
      <c r="F301" s="4" t="s">
        <v>442</v>
      </c>
      <c r="G301" s="4" t="s">
        <v>25</v>
      </c>
      <c r="H301" s="4" t="s">
        <v>23</v>
      </c>
      <c r="I301" s="4" t="s">
        <v>23</v>
      </c>
      <c r="J301" s="4" t="s">
        <v>45</v>
      </c>
      <c r="K301" s="4" t="s">
        <v>23</v>
      </c>
      <c r="L301" s="4" t="s">
        <v>466</v>
      </c>
      <c r="M301" s="4" t="s">
        <v>47</v>
      </c>
      <c r="N301" s="4" t="s">
        <v>40</v>
      </c>
      <c r="O301" s="5" t="s">
        <v>467</v>
      </c>
      <c r="P301" s="4" t="s">
        <v>23</v>
      </c>
      <c r="Q301" s="4">
        <v>3</v>
      </c>
    </row>
    <row r="302" spans="1:17" s="4" customFormat="1">
      <c r="A302" s="4" t="s">
        <v>468</v>
      </c>
      <c r="B302" s="4" t="s">
        <v>18</v>
      </c>
      <c r="C302" s="4" t="s">
        <v>440</v>
      </c>
      <c r="D302" s="4" t="s">
        <v>20</v>
      </c>
      <c r="E302" s="4" t="s">
        <v>191</v>
      </c>
      <c r="F302" s="4" t="s">
        <v>442</v>
      </c>
      <c r="G302" s="4" t="s">
        <v>25</v>
      </c>
      <c r="H302" s="4" t="s">
        <v>23</v>
      </c>
      <c r="I302" s="4" t="s">
        <v>23</v>
      </c>
      <c r="J302" s="4" t="s">
        <v>45</v>
      </c>
      <c r="K302" s="4" t="s">
        <v>23</v>
      </c>
      <c r="L302" s="4" t="s">
        <v>469</v>
      </c>
      <c r="M302" s="4" t="s">
        <v>47</v>
      </c>
      <c r="N302" s="4" t="s">
        <v>28</v>
      </c>
      <c r="O302" s="5" t="s">
        <v>470</v>
      </c>
      <c r="P302" s="4" t="s">
        <v>23</v>
      </c>
      <c r="Q302" s="4">
        <v>3</v>
      </c>
    </row>
    <row r="303" spans="1:17" s="4" customFormat="1">
      <c r="A303" s="4" t="s">
        <v>471</v>
      </c>
      <c r="B303" s="4" t="s">
        <v>18</v>
      </c>
      <c r="C303" s="4" t="s">
        <v>440</v>
      </c>
      <c r="D303" s="4" t="s">
        <v>20</v>
      </c>
      <c r="E303" s="4" t="s">
        <v>191</v>
      </c>
      <c r="F303" s="4" t="s">
        <v>442</v>
      </c>
      <c r="G303" s="4" t="s">
        <v>25</v>
      </c>
      <c r="H303" s="4" t="s">
        <v>23</v>
      </c>
      <c r="I303" s="4" t="s">
        <v>23</v>
      </c>
      <c r="J303" s="4" t="s">
        <v>45</v>
      </c>
      <c r="K303" s="4" t="s">
        <v>23</v>
      </c>
      <c r="L303" s="4" t="s">
        <v>472</v>
      </c>
      <c r="M303" s="4" t="s">
        <v>47</v>
      </c>
      <c r="N303" s="4" t="s">
        <v>106</v>
      </c>
      <c r="O303" s="5" t="s">
        <v>473</v>
      </c>
      <c r="P303" s="4" t="s">
        <v>23</v>
      </c>
      <c r="Q303" s="4">
        <v>3</v>
      </c>
    </row>
    <row r="304" spans="1:17">
      <c r="A304" t="s">
        <v>474</v>
      </c>
      <c r="B304" t="s">
        <v>31</v>
      </c>
      <c r="C304" t="s">
        <v>440</v>
      </c>
      <c r="D304" t="s">
        <v>20</v>
      </c>
      <c r="F304" t="s">
        <v>442</v>
      </c>
      <c r="G304" t="s">
        <v>25</v>
      </c>
      <c r="H304" t="s">
        <v>25</v>
      </c>
      <c r="J304" s="4" t="s">
        <v>45</v>
      </c>
      <c r="K304" t="s">
        <v>23</v>
      </c>
      <c r="M304" t="s">
        <v>27</v>
      </c>
      <c r="N304" t="s">
        <v>106</v>
      </c>
    </row>
    <row r="305" spans="1:17" s="4" customFormat="1">
      <c r="A305" s="4" t="s">
        <v>475</v>
      </c>
      <c r="B305" s="4" t="s">
        <v>18</v>
      </c>
      <c r="C305" s="4" t="s">
        <v>440</v>
      </c>
      <c r="D305" s="4" t="s">
        <v>50</v>
      </c>
      <c r="E305" s="4" t="s">
        <v>191</v>
      </c>
      <c r="F305" s="4" t="s">
        <v>442</v>
      </c>
      <c r="G305" s="4" t="s">
        <v>25</v>
      </c>
      <c r="H305" s="4" t="s">
        <v>23</v>
      </c>
      <c r="I305" s="4" t="s">
        <v>23</v>
      </c>
      <c r="J305" s="4" t="s">
        <v>45</v>
      </c>
      <c r="K305" s="4" t="s">
        <v>23</v>
      </c>
      <c r="M305" s="4" t="s">
        <v>47</v>
      </c>
      <c r="N305" s="4" t="s">
        <v>106</v>
      </c>
      <c r="O305" s="4" t="s">
        <v>476</v>
      </c>
      <c r="P305" s="4" t="s">
        <v>25</v>
      </c>
      <c r="Q305" s="4">
        <v>3</v>
      </c>
    </row>
    <row r="306" spans="1:17">
      <c r="A306" t="s">
        <v>477</v>
      </c>
      <c r="B306" t="s">
        <v>31</v>
      </c>
      <c r="C306" t="s">
        <v>440</v>
      </c>
      <c r="D306" t="s">
        <v>20</v>
      </c>
      <c r="F306" t="s">
        <v>442</v>
      </c>
      <c r="G306" t="s">
        <v>25</v>
      </c>
      <c r="H306" t="s">
        <v>25</v>
      </c>
      <c r="M306" t="s">
        <v>27</v>
      </c>
      <c r="N306" t="s">
        <v>106</v>
      </c>
      <c r="O306" s="3" t="s">
        <v>478</v>
      </c>
      <c r="P306" t="s">
        <v>23</v>
      </c>
    </row>
    <row r="307" spans="1:17">
      <c r="A307" t="s">
        <v>479</v>
      </c>
      <c r="B307" t="s">
        <v>31</v>
      </c>
      <c r="C307" t="s">
        <v>440</v>
      </c>
      <c r="D307" t="s">
        <v>20</v>
      </c>
      <c r="F307" t="s">
        <v>442</v>
      </c>
      <c r="G307" t="s">
        <v>25</v>
      </c>
      <c r="H307" t="s">
        <v>25</v>
      </c>
      <c r="M307" t="s">
        <v>27</v>
      </c>
      <c r="N307" t="s">
        <v>106</v>
      </c>
      <c r="O307" s="3" t="s">
        <v>480</v>
      </c>
      <c r="P307" t="s">
        <v>23</v>
      </c>
    </row>
    <row r="308" spans="1:17">
      <c r="A308" t="s">
        <v>481</v>
      </c>
      <c r="B308" t="s">
        <v>31</v>
      </c>
      <c r="C308" t="s">
        <v>440</v>
      </c>
      <c r="D308" t="s">
        <v>20</v>
      </c>
      <c r="F308" t="s">
        <v>442</v>
      </c>
      <c r="G308" t="s">
        <v>25</v>
      </c>
      <c r="H308" t="s">
        <v>25</v>
      </c>
      <c r="M308" t="s">
        <v>27</v>
      </c>
      <c r="N308" t="s">
        <v>106</v>
      </c>
      <c r="O308" s="3" t="s">
        <v>482</v>
      </c>
      <c r="P308" t="s">
        <v>23</v>
      </c>
    </row>
    <row r="309" spans="1:17">
      <c r="A309" t="s">
        <v>483</v>
      </c>
      <c r="B309" t="s">
        <v>31</v>
      </c>
      <c r="C309" t="s">
        <v>440</v>
      </c>
      <c r="D309" t="s">
        <v>20</v>
      </c>
      <c r="F309" t="s">
        <v>442</v>
      </c>
      <c r="G309" t="s">
        <v>25</v>
      </c>
      <c r="H309" t="s">
        <v>25</v>
      </c>
      <c r="M309" t="s">
        <v>27</v>
      </c>
      <c r="N309" t="s">
        <v>106</v>
      </c>
      <c r="O309" s="3" t="s">
        <v>484</v>
      </c>
      <c r="P309" t="s">
        <v>25</v>
      </c>
    </row>
    <row r="310" spans="1:17">
      <c r="A310" t="s">
        <v>485</v>
      </c>
      <c r="B310" t="s">
        <v>31</v>
      </c>
      <c r="C310" t="s">
        <v>440</v>
      </c>
      <c r="D310" t="s">
        <v>20</v>
      </c>
      <c r="F310" t="s">
        <v>442</v>
      </c>
      <c r="G310" t="s">
        <v>25</v>
      </c>
      <c r="H310" t="s">
        <v>25</v>
      </c>
      <c r="M310" t="s">
        <v>27</v>
      </c>
      <c r="N310" t="s">
        <v>106</v>
      </c>
      <c r="O310" s="3" t="s">
        <v>486</v>
      </c>
      <c r="P310" t="s">
        <v>25</v>
      </c>
    </row>
    <row r="311" spans="1:17">
      <c r="A311" t="s">
        <v>487</v>
      </c>
      <c r="B311" t="s">
        <v>18</v>
      </c>
      <c r="C311" t="s">
        <v>440</v>
      </c>
      <c r="D311" t="s">
        <v>20</v>
      </c>
      <c r="F311" t="s">
        <v>442</v>
      </c>
      <c r="G311" t="s">
        <v>25</v>
      </c>
      <c r="H311" t="s">
        <v>25</v>
      </c>
      <c r="M311" t="s">
        <v>27</v>
      </c>
      <c r="N311" t="s">
        <v>106</v>
      </c>
    </row>
    <row r="312" spans="1:17">
      <c r="A312" t="s">
        <v>488</v>
      </c>
      <c r="B312" t="s">
        <v>31</v>
      </c>
      <c r="C312" t="s">
        <v>440</v>
      </c>
      <c r="D312" t="s">
        <v>20</v>
      </c>
      <c r="F312" t="s">
        <v>442</v>
      </c>
      <c r="G312" t="s">
        <v>25</v>
      </c>
      <c r="H312" t="s">
        <v>25</v>
      </c>
      <c r="M312" t="s">
        <v>103</v>
      </c>
      <c r="N312" t="s">
        <v>106</v>
      </c>
    </row>
    <row r="313" spans="1:17" s="4" customFormat="1">
      <c r="A313" s="4" t="s">
        <v>489</v>
      </c>
      <c r="B313" s="4" t="s">
        <v>18</v>
      </c>
      <c r="C313" s="4" t="s">
        <v>440</v>
      </c>
      <c r="D313" s="4" t="s">
        <v>20</v>
      </c>
      <c r="E313" s="4" t="s">
        <v>191</v>
      </c>
      <c r="F313" s="4" t="s">
        <v>442</v>
      </c>
      <c r="G313" s="4" t="s">
        <v>25</v>
      </c>
      <c r="H313" s="4" t="s">
        <v>23</v>
      </c>
      <c r="I313" s="4" t="s">
        <v>23</v>
      </c>
      <c r="J313" s="4" t="s">
        <v>45</v>
      </c>
      <c r="K313" s="4" t="s">
        <v>23</v>
      </c>
      <c r="L313" s="4" t="s">
        <v>490</v>
      </c>
      <c r="M313" s="4" t="s">
        <v>27</v>
      </c>
      <c r="N313" s="4" t="s">
        <v>28</v>
      </c>
      <c r="O313" s="5" t="s">
        <v>491</v>
      </c>
      <c r="P313" s="4" t="s">
        <v>25</v>
      </c>
      <c r="Q313" s="4">
        <v>3</v>
      </c>
    </row>
    <row r="314" spans="1:17">
      <c r="A314" t="s">
        <v>492</v>
      </c>
      <c r="B314" t="s">
        <v>18</v>
      </c>
      <c r="C314" t="s">
        <v>440</v>
      </c>
      <c r="D314" t="s">
        <v>20</v>
      </c>
      <c r="G314" t="s">
        <v>25</v>
      </c>
      <c r="H314" t="s">
        <v>25</v>
      </c>
      <c r="M314" t="s">
        <v>47</v>
      </c>
      <c r="N314" t="s">
        <v>106</v>
      </c>
    </row>
    <row r="315" spans="1:17">
      <c r="A315" t="s">
        <v>493</v>
      </c>
      <c r="B315" t="s">
        <v>18</v>
      </c>
      <c r="C315" t="s">
        <v>440</v>
      </c>
      <c r="D315" t="s">
        <v>20</v>
      </c>
      <c r="G315" t="s">
        <v>25</v>
      </c>
      <c r="H315" t="s">
        <v>25</v>
      </c>
      <c r="M315" t="s">
        <v>47</v>
      </c>
      <c r="N315" t="s">
        <v>106</v>
      </c>
    </row>
    <row r="316" spans="1:17">
      <c r="A316" t="s">
        <v>494</v>
      </c>
      <c r="B316" t="s">
        <v>18</v>
      </c>
      <c r="C316" t="s">
        <v>440</v>
      </c>
      <c r="D316" t="s">
        <v>20</v>
      </c>
      <c r="G316" t="s">
        <v>25</v>
      </c>
      <c r="H316" t="s">
        <v>25</v>
      </c>
      <c r="M316" t="s">
        <v>47</v>
      </c>
      <c r="N316" t="s">
        <v>106</v>
      </c>
    </row>
    <row r="317" spans="1:17">
      <c r="A317" t="s">
        <v>495</v>
      </c>
      <c r="B317" t="s">
        <v>18</v>
      </c>
      <c r="C317" t="s">
        <v>440</v>
      </c>
      <c r="D317" t="s">
        <v>20</v>
      </c>
      <c r="G317" t="s">
        <v>25</v>
      </c>
      <c r="H317" t="s">
        <v>25</v>
      </c>
      <c r="M317" t="s">
        <v>47</v>
      </c>
      <c r="N317" t="s">
        <v>106</v>
      </c>
    </row>
    <row r="318" spans="1:17">
      <c r="A318" t="s">
        <v>496</v>
      </c>
      <c r="B318" t="s">
        <v>18</v>
      </c>
      <c r="C318" t="s">
        <v>440</v>
      </c>
      <c r="D318" t="s">
        <v>20</v>
      </c>
      <c r="G318" t="s">
        <v>25</v>
      </c>
      <c r="H318" t="s">
        <v>25</v>
      </c>
      <c r="M318" t="s">
        <v>47</v>
      </c>
      <c r="N318" t="s">
        <v>106</v>
      </c>
    </row>
    <row r="319" spans="1:17">
      <c r="A319" t="s">
        <v>497</v>
      </c>
      <c r="B319" t="s">
        <v>18</v>
      </c>
      <c r="C319" t="s">
        <v>440</v>
      </c>
      <c r="D319" t="s">
        <v>20</v>
      </c>
      <c r="G319" t="s">
        <v>25</v>
      </c>
      <c r="H319" t="s">
        <v>25</v>
      </c>
      <c r="M319" t="s">
        <v>47</v>
      </c>
      <c r="N319" t="s">
        <v>106</v>
      </c>
    </row>
    <row r="320" spans="1:17">
      <c r="A320" t="s">
        <v>498</v>
      </c>
      <c r="B320" t="s">
        <v>18</v>
      </c>
      <c r="C320" t="s">
        <v>440</v>
      </c>
      <c r="D320" t="s">
        <v>20</v>
      </c>
      <c r="G320" t="s">
        <v>25</v>
      </c>
      <c r="H320" t="s">
        <v>25</v>
      </c>
      <c r="M320" t="s">
        <v>47</v>
      </c>
      <c r="N320" t="s">
        <v>106</v>
      </c>
    </row>
    <row r="321" spans="1:16">
      <c r="A321" t="s">
        <v>499</v>
      </c>
      <c r="B321" t="s">
        <v>18</v>
      </c>
      <c r="C321" t="s">
        <v>440</v>
      </c>
      <c r="D321" t="s">
        <v>20</v>
      </c>
      <c r="G321" t="s">
        <v>25</v>
      </c>
      <c r="H321" t="s">
        <v>25</v>
      </c>
      <c r="M321" t="s">
        <v>47</v>
      </c>
      <c r="N321" t="s">
        <v>106</v>
      </c>
    </row>
    <row r="322" spans="1:16" s="4" customFormat="1">
      <c r="A322" s="4" t="s">
        <v>500</v>
      </c>
      <c r="B322" s="4" t="s">
        <v>18</v>
      </c>
      <c r="C322" s="4" t="s">
        <v>32</v>
      </c>
      <c r="D322" s="4" t="s">
        <v>20</v>
      </c>
      <c r="E322" s="4" t="s">
        <v>32</v>
      </c>
      <c r="F322" s="4" t="s">
        <v>114</v>
      </c>
      <c r="G322" s="4" t="s">
        <v>23</v>
      </c>
      <c r="H322" s="4" t="s">
        <v>23</v>
      </c>
      <c r="I322" s="4" t="s">
        <v>23</v>
      </c>
      <c r="J322" s="4" t="s">
        <v>501</v>
      </c>
      <c r="K322" s="4" t="s">
        <v>23</v>
      </c>
      <c r="M322" s="4" t="s">
        <v>47</v>
      </c>
      <c r="N322" s="4" t="s">
        <v>28</v>
      </c>
      <c r="O322" s="4" t="s">
        <v>25</v>
      </c>
      <c r="P322" s="4" t="s">
        <v>25</v>
      </c>
    </row>
    <row r="323" spans="1:16">
      <c r="A323" t="s">
        <v>502</v>
      </c>
      <c r="B323" t="s">
        <v>18</v>
      </c>
      <c r="C323" t="s">
        <v>440</v>
      </c>
      <c r="D323" t="s">
        <v>20</v>
      </c>
      <c r="G323" t="s">
        <v>25</v>
      </c>
      <c r="H323" t="s">
        <v>25</v>
      </c>
      <c r="M323" t="s">
        <v>47</v>
      </c>
      <c r="N323" t="s">
        <v>106</v>
      </c>
    </row>
    <row r="324" spans="1:16">
      <c r="A324" t="s">
        <v>503</v>
      </c>
      <c r="B324" t="s">
        <v>18</v>
      </c>
      <c r="C324" t="s">
        <v>440</v>
      </c>
      <c r="D324" t="s">
        <v>20</v>
      </c>
      <c r="G324" t="s">
        <v>25</v>
      </c>
      <c r="H324" t="s">
        <v>25</v>
      </c>
      <c r="M324" t="s">
        <v>47</v>
      </c>
      <c r="N324" t="s">
        <v>106</v>
      </c>
    </row>
    <row r="325" spans="1:16">
      <c r="A325" t="s">
        <v>504</v>
      </c>
      <c r="B325" t="s">
        <v>18</v>
      </c>
      <c r="C325" t="s">
        <v>440</v>
      </c>
      <c r="D325" t="s">
        <v>20</v>
      </c>
      <c r="G325" t="s">
        <v>25</v>
      </c>
      <c r="H325" t="s">
        <v>25</v>
      </c>
      <c r="M325" t="s">
        <v>47</v>
      </c>
      <c r="N325" t="s">
        <v>106</v>
      </c>
    </row>
    <row r="326" spans="1:16">
      <c r="A326" t="s">
        <v>505</v>
      </c>
      <c r="B326" t="s">
        <v>31</v>
      </c>
      <c r="C326" t="s">
        <v>440</v>
      </c>
      <c r="D326" t="s">
        <v>36</v>
      </c>
      <c r="F326" t="s">
        <v>506</v>
      </c>
      <c r="G326" t="s">
        <v>23</v>
      </c>
      <c r="H326" t="s">
        <v>25</v>
      </c>
      <c r="M326" t="s">
        <v>27</v>
      </c>
      <c r="N326" t="s">
        <v>106</v>
      </c>
    </row>
    <row r="327" spans="1:16">
      <c r="A327" t="s">
        <v>507</v>
      </c>
      <c r="B327" t="s">
        <v>18</v>
      </c>
      <c r="C327" t="s">
        <v>440</v>
      </c>
      <c r="D327" t="s">
        <v>20</v>
      </c>
      <c r="F327" t="s">
        <v>506</v>
      </c>
      <c r="G327" t="s">
        <v>25</v>
      </c>
      <c r="H327" t="s">
        <v>25</v>
      </c>
      <c r="M327" t="s">
        <v>54</v>
      </c>
      <c r="N327" t="s">
        <v>106</v>
      </c>
    </row>
    <row r="328" spans="1:16">
      <c r="A328" t="s">
        <v>508</v>
      </c>
      <c r="B328" t="s">
        <v>18</v>
      </c>
      <c r="C328" t="s">
        <v>440</v>
      </c>
      <c r="D328" t="s">
        <v>36</v>
      </c>
      <c r="F328" t="s">
        <v>506</v>
      </c>
      <c r="G328" t="s">
        <v>25</v>
      </c>
      <c r="H328" t="s">
        <v>25</v>
      </c>
      <c r="M328" t="s">
        <v>47</v>
      </c>
      <c r="N328" t="s">
        <v>28</v>
      </c>
    </row>
    <row r="329" spans="1:16">
      <c r="A329" t="s">
        <v>509</v>
      </c>
      <c r="B329" t="s">
        <v>18</v>
      </c>
      <c r="C329" t="s">
        <v>440</v>
      </c>
      <c r="D329" t="s">
        <v>36</v>
      </c>
      <c r="F329" t="s">
        <v>506</v>
      </c>
      <c r="G329" t="s">
        <v>25</v>
      </c>
      <c r="H329" t="s">
        <v>25</v>
      </c>
      <c r="M329" t="s">
        <v>47</v>
      </c>
      <c r="N329" t="s">
        <v>28</v>
      </c>
    </row>
    <row r="330" spans="1:16">
      <c r="A330" t="s">
        <v>510</v>
      </c>
      <c r="B330" t="s">
        <v>18</v>
      </c>
      <c r="C330" t="s">
        <v>440</v>
      </c>
      <c r="D330" t="s">
        <v>36</v>
      </c>
      <c r="F330" t="s">
        <v>506</v>
      </c>
      <c r="G330" t="s">
        <v>25</v>
      </c>
      <c r="H330" t="s">
        <v>25</v>
      </c>
      <c r="M330" t="s">
        <v>47</v>
      </c>
      <c r="N330" t="s">
        <v>28</v>
      </c>
    </row>
    <row r="331" spans="1:16">
      <c r="A331" t="s">
        <v>511</v>
      </c>
      <c r="B331" t="s">
        <v>18</v>
      </c>
      <c r="C331" t="s">
        <v>440</v>
      </c>
      <c r="D331" t="s">
        <v>36</v>
      </c>
      <c r="F331" t="s">
        <v>506</v>
      </c>
      <c r="G331" t="s">
        <v>25</v>
      </c>
      <c r="H331" t="s">
        <v>25</v>
      </c>
      <c r="M331" t="s">
        <v>47</v>
      </c>
      <c r="N331" t="s">
        <v>106</v>
      </c>
    </row>
    <row r="332" spans="1:16">
      <c r="A332" t="s">
        <v>512</v>
      </c>
      <c r="B332" t="s">
        <v>18</v>
      </c>
      <c r="C332" t="s">
        <v>440</v>
      </c>
      <c r="D332" t="s">
        <v>36</v>
      </c>
      <c r="F332" t="s">
        <v>506</v>
      </c>
      <c r="G332" t="s">
        <v>25</v>
      </c>
      <c r="H332" t="s">
        <v>25</v>
      </c>
      <c r="M332" t="s">
        <v>47</v>
      </c>
      <c r="N332" t="s">
        <v>28</v>
      </c>
    </row>
    <row r="333" spans="1:16">
      <c r="A333" t="s">
        <v>513</v>
      </c>
      <c r="B333" t="s">
        <v>18</v>
      </c>
      <c r="C333" t="s">
        <v>440</v>
      </c>
      <c r="D333" t="s">
        <v>36</v>
      </c>
      <c r="F333" t="s">
        <v>506</v>
      </c>
      <c r="G333" t="s">
        <v>25</v>
      </c>
      <c r="H333" t="s">
        <v>25</v>
      </c>
      <c r="M333" t="s">
        <v>47</v>
      </c>
      <c r="N333" t="s">
        <v>106</v>
      </c>
    </row>
    <row r="334" spans="1:16">
      <c r="A334" t="s">
        <v>514</v>
      </c>
      <c r="B334" t="s">
        <v>31</v>
      </c>
      <c r="C334" t="s">
        <v>440</v>
      </c>
      <c r="D334" t="s">
        <v>36</v>
      </c>
      <c r="F334" t="s">
        <v>506</v>
      </c>
      <c r="G334" t="s">
        <v>23</v>
      </c>
      <c r="H334" t="s">
        <v>25</v>
      </c>
      <c r="M334" t="s">
        <v>27</v>
      </c>
      <c r="N334" t="s">
        <v>40</v>
      </c>
    </row>
    <row r="335" spans="1:16">
      <c r="A335" t="s">
        <v>515</v>
      </c>
      <c r="B335" t="s">
        <v>18</v>
      </c>
      <c r="C335" t="s">
        <v>440</v>
      </c>
      <c r="D335" t="s">
        <v>36</v>
      </c>
      <c r="F335" t="s">
        <v>506</v>
      </c>
      <c r="G335" t="s">
        <v>25</v>
      </c>
      <c r="H335" t="s">
        <v>25</v>
      </c>
      <c r="M335" t="s">
        <v>47</v>
      </c>
      <c r="N335" t="s">
        <v>28</v>
      </c>
    </row>
    <row r="336" spans="1:16">
      <c r="A336" t="s">
        <v>516</v>
      </c>
      <c r="B336" t="s">
        <v>18</v>
      </c>
      <c r="C336" t="s">
        <v>440</v>
      </c>
      <c r="D336" t="s">
        <v>36</v>
      </c>
      <c r="F336" t="s">
        <v>506</v>
      </c>
      <c r="G336" t="s">
        <v>25</v>
      </c>
      <c r="H336" t="s">
        <v>25</v>
      </c>
      <c r="M336" t="s">
        <v>47</v>
      </c>
      <c r="N336" t="s">
        <v>28</v>
      </c>
    </row>
    <row r="337" spans="1:14">
      <c r="A337" t="s">
        <v>517</v>
      </c>
      <c r="B337" t="s">
        <v>18</v>
      </c>
      <c r="C337" t="s">
        <v>440</v>
      </c>
      <c r="D337" t="s">
        <v>36</v>
      </c>
      <c r="F337" t="s">
        <v>518</v>
      </c>
      <c r="G337" t="s">
        <v>25</v>
      </c>
      <c r="H337" t="s">
        <v>25</v>
      </c>
      <c r="M337" t="s">
        <v>47</v>
      </c>
      <c r="N337" t="s">
        <v>28</v>
      </c>
    </row>
    <row r="338" spans="1:14">
      <c r="A338" t="s">
        <v>519</v>
      </c>
      <c r="B338" t="s">
        <v>18</v>
      </c>
      <c r="C338" t="s">
        <v>440</v>
      </c>
      <c r="D338" t="s">
        <v>36</v>
      </c>
      <c r="F338" t="s">
        <v>518</v>
      </c>
      <c r="G338" t="s">
        <v>25</v>
      </c>
      <c r="H338" t="s">
        <v>25</v>
      </c>
      <c r="M338" t="s">
        <v>47</v>
      </c>
      <c r="N338" t="s">
        <v>28</v>
      </c>
    </row>
    <row r="339" spans="1:14">
      <c r="A339" t="s">
        <v>520</v>
      </c>
      <c r="B339" t="s">
        <v>18</v>
      </c>
      <c r="C339" t="s">
        <v>440</v>
      </c>
      <c r="D339" t="s">
        <v>36</v>
      </c>
      <c r="F339" t="s">
        <v>518</v>
      </c>
      <c r="G339" t="s">
        <v>25</v>
      </c>
      <c r="H339" t="s">
        <v>25</v>
      </c>
      <c r="M339" t="s">
        <v>47</v>
      </c>
      <c r="N339" t="s">
        <v>106</v>
      </c>
    </row>
    <row r="340" spans="1:14">
      <c r="A340" t="s">
        <v>507</v>
      </c>
      <c r="B340" t="s">
        <v>18</v>
      </c>
      <c r="C340" t="s">
        <v>440</v>
      </c>
      <c r="D340" t="s">
        <v>36</v>
      </c>
      <c r="F340" t="s">
        <v>518</v>
      </c>
      <c r="G340" t="s">
        <v>25</v>
      </c>
      <c r="H340" t="s">
        <v>25</v>
      </c>
      <c r="M340" t="s">
        <v>47</v>
      </c>
      <c r="N340" t="s">
        <v>106</v>
      </c>
    </row>
    <row r="341" spans="1:14">
      <c r="A341" t="s">
        <v>521</v>
      </c>
      <c r="B341" t="s">
        <v>18</v>
      </c>
      <c r="C341" t="s">
        <v>440</v>
      </c>
      <c r="D341" t="s">
        <v>36</v>
      </c>
      <c r="F341" t="s">
        <v>518</v>
      </c>
      <c r="G341" t="s">
        <v>25</v>
      </c>
      <c r="H341" t="s">
        <v>25</v>
      </c>
      <c r="M341" t="s">
        <v>47</v>
      </c>
      <c r="N341" t="s">
        <v>106</v>
      </c>
    </row>
    <row r="342" spans="1:14">
      <c r="A342" t="s">
        <v>522</v>
      </c>
      <c r="B342" t="s">
        <v>18</v>
      </c>
      <c r="C342" t="s">
        <v>440</v>
      </c>
      <c r="D342" t="s">
        <v>36</v>
      </c>
      <c r="F342" t="s">
        <v>518</v>
      </c>
      <c r="G342" t="s">
        <v>25</v>
      </c>
      <c r="H342" t="s">
        <v>25</v>
      </c>
      <c r="M342" t="s">
        <v>47</v>
      </c>
      <c r="N342" t="s">
        <v>106</v>
      </c>
    </row>
    <row r="343" spans="1:14">
      <c r="A343" t="s">
        <v>523</v>
      </c>
      <c r="B343" t="s">
        <v>18</v>
      </c>
      <c r="C343" t="s">
        <v>440</v>
      </c>
      <c r="D343" t="s">
        <v>36</v>
      </c>
      <c r="F343" t="s">
        <v>518</v>
      </c>
      <c r="G343" t="s">
        <v>25</v>
      </c>
      <c r="H343" t="s">
        <v>25</v>
      </c>
      <c r="M343" t="s">
        <v>47</v>
      </c>
      <c r="N343" t="s">
        <v>106</v>
      </c>
    </row>
    <row r="344" spans="1:14">
      <c r="A344" t="s">
        <v>524</v>
      </c>
      <c r="B344" t="s">
        <v>18</v>
      </c>
      <c r="C344" t="s">
        <v>440</v>
      </c>
      <c r="D344" t="s">
        <v>36</v>
      </c>
      <c r="F344" t="s">
        <v>518</v>
      </c>
      <c r="G344" t="s">
        <v>25</v>
      </c>
      <c r="H344" t="s">
        <v>25</v>
      </c>
      <c r="M344" t="s">
        <v>47</v>
      </c>
      <c r="N344" t="s">
        <v>106</v>
      </c>
    </row>
    <row r="345" spans="1:14">
      <c r="A345" t="s">
        <v>525</v>
      </c>
      <c r="B345" t="s">
        <v>18</v>
      </c>
      <c r="C345" t="s">
        <v>440</v>
      </c>
      <c r="D345" t="s">
        <v>36</v>
      </c>
      <c r="F345" t="s">
        <v>518</v>
      </c>
      <c r="G345" t="s">
        <v>25</v>
      </c>
      <c r="H345" t="s">
        <v>25</v>
      </c>
      <c r="M345" t="s">
        <v>47</v>
      </c>
      <c r="N345" t="s">
        <v>106</v>
      </c>
    </row>
    <row r="346" spans="1:14">
      <c r="A346" t="s">
        <v>526</v>
      </c>
      <c r="B346" t="s">
        <v>18</v>
      </c>
      <c r="C346" t="s">
        <v>440</v>
      </c>
      <c r="D346" t="s">
        <v>36</v>
      </c>
      <c r="F346" t="s">
        <v>518</v>
      </c>
      <c r="G346" t="s">
        <v>25</v>
      </c>
      <c r="H346" t="s">
        <v>25</v>
      </c>
      <c r="M346" t="s">
        <v>47</v>
      </c>
      <c r="N346" t="s">
        <v>106</v>
      </c>
    </row>
    <row r="347" spans="1:14">
      <c r="A347" t="s">
        <v>527</v>
      </c>
      <c r="B347" t="s">
        <v>18</v>
      </c>
      <c r="C347" t="s">
        <v>440</v>
      </c>
      <c r="D347" t="s">
        <v>36</v>
      </c>
      <c r="F347" t="s">
        <v>518</v>
      </c>
      <c r="G347" t="s">
        <v>25</v>
      </c>
      <c r="H347" t="s">
        <v>25</v>
      </c>
      <c r="M347" t="s">
        <v>47</v>
      </c>
      <c r="N347" t="s">
        <v>106</v>
      </c>
    </row>
    <row r="348" spans="1:14">
      <c r="A348" t="s">
        <v>528</v>
      </c>
      <c r="B348" t="s">
        <v>18</v>
      </c>
      <c r="C348" t="s">
        <v>440</v>
      </c>
      <c r="D348" t="s">
        <v>36</v>
      </c>
      <c r="F348" t="s">
        <v>518</v>
      </c>
      <c r="G348" t="s">
        <v>25</v>
      </c>
      <c r="H348" t="s">
        <v>25</v>
      </c>
      <c r="M348" t="s">
        <v>47</v>
      </c>
      <c r="N348" t="s">
        <v>106</v>
      </c>
    </row>
    <row r="349" spans="1:14">
      <c r="A349" t="s">
        <v>529</v>
      </c>
      <c r="B349" t="s">
        <v>18</v>
      </c>
      <c r="C349" t="s">
        <v>440</v>
      </c>
      <c r="D349" t="s">
        <v>36</v>
      </c>
      <c r="F349" t="s">
        <v>518</v>
      </c>
      <c r="G349" t="s">
        <v>25</v>
      </c>
      <c r="H349" t="s">
        <v>25</v>
      </c>
      <c r="M349" t="s">
        <v>47</v>
      </c>
      <c r="N349" t="s">
        <v>106</v>
      </c>
    </row>
    <row r="350" spans="1:14">
      <c r="A350" t="s">
        <v>530</v>
      </c>
      <c r="B350" t="s">
        <v>18</v>
      </c>
      <c r="C350" t="s">
        <v>440</v>
      </c>
      <c r="D350" t="s">
        <v>36</v>
      </c>
      <c r="F350" t="s">
        <v>518</v>
      </c>
      <c r="G350" t="s">
        <v>25</v>
      </c>
      <c r="H350" t="s">
        <v>25</v>
      </c>
      <c r="M350" t="s">
        <v>47</v>
      </c>
      <c r="N350" t="s">
        <v>64</v>
      </c>
    </row>
    <row r="351" spans="1:14">
      <c r="A351" t="s">
        <v>531</v>
      </c>
      <c r="B351" t="s">
        <v>18</v>
      </c>
      <c r="C351" t="s">
        <v>140</v>
      </c>
      <c r="D351" t="s">
        <v>36</v>
      </c>
      <c r="F351" t="s">
        <v>114</v>
      </c>
      <c r="G351" t="s">
        <v>25</v>
      </c>
      <c r="H351" t="s">
        <v>25</v>
      </c>
      <c r="M351" t="s">
        <v>27</v>
      </c>
      <c r="N351" t="s">
        <v>33</v>
      </c>
    </row>
    <row r="352" spans="1:14">
      <c r="A352" t="s">
        <v>532</v>
      </c>
      <c r="B352" t="s">
        <v>18</v>
      </c>
      <c r="C352" t="s">
        <v>140</v>
      </c>
      <c r="D352" t="s">
        <v>36</v>
      </c>
      <c r="F352" t="s">
        <v>114</v>
      </c>
      <c r="G352" t="s">
        <v>25</v>
      </c>
      <c r="H352" t="s">
        <v>25</v>
      </c>
      <c r="M352" t="s">
        <v>27</v>
      </c>
      <c r="N352" t="s">
        <v>33</v>
      </c>
    </row>
    <row r="353" spans="1:17">
      <c r="A353" t="s">
        <v>533</v>
      </c>
      <c r="B353" t="s">
        <v>31</v>
      </c>
      <c r="C353" t="s">
        <v>43</v>
      </c>
      <c r="D353" t="s">
        <v>36</v>
      </c>
      <c r="G353" t="s">
        <v>23</v>
      </c>
      <c r="H353" t="s">
        <v>25</v>
      </c>
      <c r="M353" t="s">
        <v>27</v>
      </c>
      <c r="N353" t="s">
        <v>33</v>
      </c>
    </row>
    <row r="354" spans="1:17">
      <c r="A354" t="s">
        <v>534</v>
      </c>
      <c r="B354" t="s">
        <v>18</v>
      </c>
      <c r="C354" t="s">
        <v>140</v>
      </c>
      <c r="D354" t="s">
        <v>36</v>
      </c>
      <c r="F354" t="s">
        <v>114</v>
      </c>
      <c r="G354" t="s">
        <v>25</v>
      </c>
      <c r="H354" t="s">
        <v>25</v>
      </c>
      <c r="M354" t="s">
        <v>47</v>
      </c>
      <c r="N354" t="s">
        <v>106</v>
      </c>
    </row>
    <row r="355" spans="1:17">
      <c r="A355" t="s">
        <v>535</v>
      </c>
      <c r="B355" t="s">
        <v>31</v>
      </c>
      <c r="C355" t="s">
        <v>35</v>
      </c>
      <c r="D355" t="s">
        <v>20</v>
      </c>
      <c r="G355" t="s">
        <v>25</v>
      </c>
      <c r="H355" t="s">
        <v>25</v>
      </c>
      <c r="M355" t="s">
        <v>47</v>
      </c>
      <c r="N355" t="s">
        <v>28</v>
      </c>
    </row>
    <row r="356" spans="1:17">
      <c r="A356" t="s">
        <v>536</v>
      </c>
      <c r="B356" t="s">
        <v>31</v>
      </c>
      <c r="C356" t="s">
        <v>35</v>
      </c>
      <c r="D356" t="s">
        <v>36</v>
      </c>
      <c r="G356" t="s">
        <v>25</v>
      </c>
      <c r="H356" t="s">
        <v>25</v>
      </c>
      <c r="M356" t="s">
        <v>54</v>
      </c>
      <c r="N356" t="s">
        <v>28</v>
      </c>
    </row>
    <row r="357" spans="1:17">
      <c r="A357" t="s">
        <v>537</v>
      </c>
      <c r="B357" t="s">
        <v>31</v>
      </c>
      <c r="C357" t="s">
        <v>140</v>
      </c>
      <c r="D357" t="s">
        <v>36</v>
      </c>
      <c r="G357" t="s">
        <v>25</v>
      </c>
      <c r="H357" t="s">
        <v>25</v>
      </c>
      <c r="M357" t="s">
        <v>47</v>
      </c>
      <c r="N357" t="s">
        <v>106</v>
      </c>
    </row>
    <row r="358" spans="1:17">
      <c r="A358" t="s">
        <v>538</v>
      </c>
      <c r="B358" t="s">
        <v>18</v>
      </c>
      <c r="C358" t="s">
        <v>35</v>
      </c>
      <c r="D358" t="s">
        <v>20</v>
      </c>
      <c r="F358" t="s">
        <v>114</v>
      </c>
      <c r="G358" t="s">
        <v>25</v>
      </c>
      <c r="H358" t="s">
        <v>25</v>
      </c>
      <c r="M358" t="s">
        <v>47</v>
      </c>
      <c r="N358" t="s">
        <v>28</v>
      </c>
    </row>
    <row r="359" spans="1:17">
      <c r="A359" t="s">
        <v>539</v>
      </c>
      <c r="B359" t="s">
        <v>31</v>
      </c>
      <c r="C359" t="s">
        <v>140</v>
      </c>
      <c r="D359" t="s">
        <v>20</v>
      </c>
      <c r="F359" t="s">
        <v>114</v>
      </c>
      <c r="G359" t="s">
        <v>25</v>
      </c>
      <c r="H359" t="s">
        <v>25</v>
      </c>
      <c r="J359">
        <v>1</v>
      </c>
      <c r="K359" t="s">
        <v>25</v>
      </c>
      <c r="L359" t="s">
        <v>540</v>
      </c>
      <c r="M359" t="s">
        <v>54</v>
      </c>
      <c r="N359" t="s">
        <v>106</v>
      </c>
      <c r="O359" s="3" t="s">
        <v>541</v>
      </c>
      <c r="P359" s="3"/>
    </row>
    <row r="360" spans="1:17">
      <c r="A360" t="s">
        <v>542</v>
      </c>
      <c r="B360" t="s">
        <v>31</v>
      </c>
      <c r="C360" t="s">
        <v>140</v>
      </c>
      <c r="D360" t="s">
        <v>20</v>
      </c>
      <c r="F360" t="s">
        <v>114</v>
      </c>
      <c r="G360" t="s">
        <v>25</v>
      </c>
      <c r="H360" t="s">
        <v>25</v>
      </c>
      <c r="J360">
        <v>1</v>
      </c>
      <c r="K360" t="s">
        <v>23</v>
      </c>
      <c r="L360" t="s">
        <v>543</v>
      </c>
      <c r="M360" t="s">
        <v>27</v>
      </c>
      <c r="N360" t="s">
        <v>106</v>
      </c>
      <c r="O360" s="3" t="s">
        <v>544</v>
      </c>
    </row>
    <row r="361" spans="1:17">
      <c r="A361" t="s">
        <v>545</v>
      </c>
      <c r="B361" t="s">
        <v>31</v>
      </c>
      <c r="C361" t="s">
        <v>140</v>
      </c>
      <c r="D361" t="s">
        <v>20</v>
      </c>
      <c r="F361" t="s">
        <v>114</v>
      </c>
      <c r="G361" t="s">
        <v>25</v>
      </c>
      <c r="H361" t="s">
        <v>25</v>
      </c>
      <c r="J361">
        <v>1</v>
      </c>
      <c r="K361" t="s">
        <v>23</v>
      </c>
      <c r="L361" t="s">
        <v>543</v>
      </c>
      <c r="M361" t="s">
        <v>27</v>
      </c>
      <c r="N361" t="s">
        <v>106</v>
      </c>
      <c r="O361" s="3" t="s">
        <v>546</v>
      </c>
    </row>
    <row r="362" spans="1:17" s="4" customFormat="1">
      <c r="A362" s="4" t="s">
        <v>547</v>
      </c>
      <c r="B362" s="4" t="s">
        <v>18</v>
      </c>
      <c r="C362" s="4" t="s">
        <v>140</v>
      </c>
      <c r="D362" s="4" t="s">
        <v>20</v>
      </c>
      <c r="E362" s="4" t="s">
        <v>191</v>
      </c>
      <c r="F362" s="4" t="s">
        <v>114</v>
      </c>
      <c r="G362" s="4" t="s">
        <v>25</v>
      </c>
      <c r="H362" s="4" t="s">
        <v>23</v>
      </c>
      <c r="I362" s="4" t="s">
        <v>23</v>
      </c>
      <c r="J362" s="4">
        <v>1</v>
      </c>
      <c r="K362" s="4" t="s">
        <v>23</v>
      </c>
      <c r="M362" s="4" t="s">
        <v>47</v>
      </c>
      <c r="N362" s="4" t="s">
        <v>106</v>
      </c>
      <c r="O362" s="5" t="s">
        <v>547</v>
      </c>
      <c r="P362" s="4" t="s">
        <v>23</v>
      </c>
      <c r="Q362" s="4">
        <v>3</v>
      </c>
    </row>
    <row r="363" spans="1:17" s="4" customFormat="1">
      <c r="A363" s="4" t="s">
        <v>548</v>
      </c>
      <c r="B363" s="4" t="s">
        <v>18</v>
      </c>
      <c r="C363" s="4" t="s">
        <v>140</v>
      </c>
      <c r="D363" s="4" t="s">
        <v>20</v>
      </c>
      <c r="E363" s="4" t="s">
        <v>191</v>
      </c>
      <c r="F363" s="4" t="s">
        <v>114</v>
      </c>
      <c r="G363" s="4" t="s">
        <v>25</v>
      </c>
      <c r="H363" s="4" t="s">
        <v>23</v>
      </c>
      <c r="I363" s="4" t="s">
        <v>23</v>
      </c>
      <c r="J363" s="4">
        <v>1</v>
      </c>
      <c r="K363" s="4" t="s">
        <v>23</v>
      </c>
      <c r="M363" s="4" t="s">
        <v>54</v>
      </c>
      <c r="N363" s="4" t="s">
        <v>106</v>
      </c>
      <c r="O363" s="5" t="s">
        <v>549</v>
      </c>
      <c r="P363" s="4" t="s">
        <v>23</v>
      </c>
      <c r="Q363" s="4">
        <v>0</v>
      </c>
    </row>
    <row r="364" spans="1:17" s="4" customFormat="1">
      <c r="A364" s="4" t="s">
        <v>550</v>
      </c>
      <c r="B364" s="4" t="s">
        <v>18</v>
      </c>
      <c r="C364" s="4" t="s">
        <v>43</v>
      </c>
      <c r="D364" s="4" t="s">
        <v>59</v>
      </c>
      <c r="E364" s="4" t="s">
        <v>88</v>
      </c>
      <c r="F364" s="4" t="s">
        <v>101</v>
      </c>
      <c r="G364" s="4" t="s">
        <v>23</v>
      </c>
      <c r="H364" s="4" t="s">
        <v>23</v>
      </c>
      <c r="I364" s="4" t="s">
        <v>23</v>
      </c>
      <c r="J364" s="4" t="s">
        <v>551</v>
      </c>
      <c r="K364" s="4" t="s">
        <v>25</v>
      </c>
      <c r="L364" s="4" t="s">
        <v>552</v>
      </c>
      <c r="M364" s="4" t="s">
        <v>54</v>
      </c>
      <c r="N364" s="4" t="s">
        <v>40</v>
      </c>
      <c r="O364" s="5"/>
      <c r="Q364" s="4">
        <v>3</v>
      </c>
    </row>
    <row r="365" spans="1:17" s="4" customFormat="1">
      <c r="A365" s="4" t="s">
        <v>553</v>
      </c>
      <c r="B365" s="4" t="s">
        <v>18</v>
      </c>
      <c r="C365" s="4" t="s">
        <v>35</v>
      </c>
      <c r="D365" s="4" t="s">
        <v>50</v>
      </c>
      <c r="E365" s="4" t="s">
        <v>88</v>
      </c>
      <c r="F365" s="4" t="s">
        <v>22</v>
      </c>
      <c r="G365" s="4" t="s">
        <v>23</v>
      </c>
      <c r="H365" s="4" t="s">
        <v>23</v>
      </c>
      <c r="I365" s="4" t="s">
        <v>23</v>
      </c>
      <c r="J365" s="4" t="s">
        <v>554</v>
      </c>
      <c r="K365" s="4" t="s">
        <v>25</v>
      </c>
      <c r="M365" s="4" t="s">
        <v>27</v>
      </c>
      <c r="N365" s="4" t="s">
        <v>40</v>
      </c>
      <c r="O365" s="5" t="s">
        <v>555</v>
      </c>
      <c r="P365" s="4" t="s">
        <v>23</v>
      </c>
      <c r="Q365" s="4">
        <v>3</v>
      </c>
    </row>
    <row r="366" spans="1:17" s="4" customFormat="1">
      <c r="A366" s="4" t="s">
        <v>556</v>
      </c>
      <c r="B366" s="4" t="s">
        <v>18</v>
      </c>
      <c r="C366" s="4" t="s">
        <v>140</v>
      </c>
      <c r="D366" s="4" t="s">
        <v>20</v>
      </c>
      <c r="E366" s="4" t="s">
        <v>191</v>
      </c>
      <c r="F366" s="4" t="s">
        <v>114</v>
      </c>
      <c r="G366" s="4" t="s">
        <v>25</v>
      </c>
      <c r="H366" s="4" t="s">
        <v>23</v>
      </c>
      <c r="I366" s="4" t="s">
        <v>23</v>
      </c>
      <c r="J366" s="4" t="s">
        <v>551</v>
      </c>
      <c r="K366" s="4" t="s">
        <v>25</v>
      </c>
      <c r="M366" s="4" t="s">
        <v>54</v>
      </c>
      <c r="N366" s="4" t="s">
        <v>64</v>
      </c>
      <c r="O366" s="5" t="s">
        <v>557</v>
      </c>
      <c r="P366" s="4" t="s">
        <v>25</v>
      </c>
      <c r="Q366" s="4">
        <v>3</v>
      </c>
    </row>
    <row r="367" spans="1:17" s="4" customFormat="1">
      <c r="A367" s="19" t="s">
        <v>558</v>
      </c>
      <c r="B367" s="4" t="s">
        <v>18</v>
      </c>
      <c r="C367" s="4" t="s">
        <v>32</v>
      </c>
      <c r="D367" s="4" t="s">
        <v>20</v>
      </c>
      <c r="E367" s="4" t="s">
        <v>32</v>
      </c>
      <c r="F367" s="4" t="s">
        <v>114</v>
      </c>
      <c r="G367" s="4" t="s">
        <v>25</v>
      </c>
      <c r="H367" s="4" t="s">
        <v>23</v>
      </c>
      <c r="I367" s="4" t="s">
        <v>23</v>
      </c>
      <c r="J367" s="4" t="s">
        <v>551</v>
      </c>
      <c r="K367" s="4" t="s">
        <v>23</v>
      </c>
      <c r="L367" s="4" t="s">
        <v>490</v>
      </c>
      <c r="M367" s="4" t="s">
        <v>47</v>
      </c>
      <c r="N367" s="4" t="s">
        <v>40</v>
      </c>
      <c r="O367" s="5" t="s">
        <v>559</v>
      </c>
      <c r="P367" s="4" t="s">
        <v>23</v>
      </c>
      <c r="Q367" s="4">
        <v>3</v>
      </c>
    </row>
    <row r="368" spans="1:17">
      <c r="A368" s="4" t="s">
        <v>560</v>
      </c>
      <c r="B368" s="4" t="s">
        <v>18</v>
      </c>
      <c r="C368" s="4" t="s">
        <v>99</v>
      </c>
      <c r="D368" s="4" t="s">
        <v>20</v>
      </c>
      <c r="E368" s="4" t="s">
        <v>88</v>
      </c>
      <c r="F368" s="4" t="s">
        <v>22</v>
      </c>
      <c r="G368" s="4" t="s">
        <v>23</v>
      </c>
      <c r="H368" s="4" t="s">
        <v>23</v>
      </c>
      <c r="I368" s="4" t="s">
        <v>23</v>
      </c>
      <c r="J368" s="4" t="s">
        <v>501</v>
      </c>
      <c r="K368" s="4" t="s">
        <v>23</v>
      </c>
      <c r="L368" s="4" t="s">
        <v>23</v>
      </c>
      <c r="M368" s="4" t="s">
        <v>27</v>
      </c>
      <c r="N368" s="4" t="s">
        <v>106</v>
      </c>
      <c r="O368" s="3" t="s">
        <v>561</v>
      </c>
      <c r="P368" s="4" t="s">
        <v>23</v>
      </c>
      <c r="Q368" s="4">
        <v>3</v>
      </c>
    </row>
    <row r="369" spans="1:17">
      <c r="A369" t="s">
        <v>562</v>
      </c>
      <c r="B369" t="s">
        <v>31</v>
      </c>
      <c r="C369" t="s">
        <v>140</v>
      </c>
      <c r="D369" t="s">
        <v>20</v>
      </c>
      <c r="E369" t="s">
        <v>191</v>
      </c>
      <c r="F369" t="s">
        <v>114</v>
      </c>
      <c r="G369" t="s">
        <v>25</v>
      </c>
      <c r="H369" t="s">
        <v>25</v>
      </c>
      <c r="J369" t="s">
        <v>501</v>
      </c>
      <c r="K369" t="s">
        <v>23</v>
      </c>
      <c r="M369" t="s">
        <v>27</v>
      </c>
      <c r="N369" t="s">
        <v>106</v>
      </c>
      <c r="P369" t="s">
        <v>25</v>
      </c>
    </row>
    <row r="370" spans="1:17">
      <c r="A370" t="s">
        <v>563</v>
      </c>
      <c r="B370" t="s">
        <v>31</v>
      </c>
      <c r="C370" t="s">
        <v>140</v>
      </c>
      <c r="D370" t="s">
        <v>20</v>
      </c>
      <c r="E370" t="s">
        <v>191</v>
      </c>
      <c r="F370" t="s">
        <v>114</v>
      </c>
      <c r="G370" t="s">
        <v>25</v>
      </c>
      <c r="H370" t="s">
        <v>25</v>
      </c>
      <c r="J370" t="s">
        <v>501</v>
      </c>
      <c r="N370" t="s">
        <v>106</v>
      </c>
    </row>
    <row r="371" spans="1:17">
      <c r="A371" t="s">
        <v>564</v>
      </c>
      <c r="B371" t="s">
        <v>31</v>
      </c>
      <c r="C371" t="s">
        <v>32</v>
      </c>
      <c r="D371" t="s">
        <v>20</v>
      </c>
      <c r="E371" t="s">
        <v>32</v>
      </c>
      <c r="F371" t="s">
        <v>114</v>
      </c>
      <c r="G371" t="s">
        <v>25</v>
      </c>
      <c r="H371" t="s">
        <v>25</v>
      </c>
      <c r="J371" t="s">
        <v>501</v>
      </c>
      <c r="N371" t="s">
        <v>85</v>
      </c>
    </row>
    <row r="372" spans="1:17">
      <c r="A372" t="s">
        <v>565</v>
      </c>
      <c r="B372" t="s">
        <v>31</v>
      </c>
      <c r="C372" t="s">
        <v>140</v>
      </c>
      <c r="D372" t="s">
        <v>20</v>
      </c>
      <c r="E372" t="s">
        <v>191</v>
      </c>
      <c r="F372" t="s">
        <v>114</v>
      </c>
      <c r="G372" t="s">
        <v>25</v>
      </c>
      <c r="H372" t="s">
        <v>25</v>
      </c>
      <c r="J372" t="s">
        <v>501</v>
      </c>
      <c r="M372" t="s">
        <v>103</v>
      </c>
      <c r="N372" t="s">
        <v>106</v>
      </c>
      <c r="O372" s="3" t="s">
        <v>566</v>
      </c>
      <c r="P372" t="s">
        <v>23</v>
      </c>
      <c r="Q372">
        <v>4</v>
      </c>
    </row>
    <row r="373" spans="1:17" s="4" customFormat="1">
      <c r="A373" s="18" t="s">
        <v>567</v>
      </c>
      <c r="B373" s="4" t="s">
        <v>18</v>
      </c>
      <c r="D373" s="4" t="s">
        <v>59</v>
      </c>
      <c r="E373" s="4" t="s">
        <v>88</v>
      </c>
      <c r="F373" s="4" t="s">
        <v>101</v>
      </c>
      <c r="G373" s="4" t="s">
        <v>23</v>
      </c>
      <c r="H373" s="4" t="s">
        <v>23</v>
      </c>
      <c r="I373" s="4" t="s">
        <v>25</v>
      </c>
      <c r="J373" s="4" t="s">
        <v>501</v>
      </c>
      <c r="K373" s="4" t="s">
        <v>23</v>
      </c>
      <c r="M373" s="4" t="s">
        <v>47</v>
      </c>
      <c r="N373" s="4" t="s">
        <v>106</v>
      </c>
      <c r="O373" s="5" t="s">
        <v>568</v>
      </c>
      <c r="P373" s="4" t="s">
        <v>23</v>
      </c>
      <c r="Q373" s="4" t="s">
        <v>569</v>
      </c>
    </row>
    <row r="374" spans="1:17" s="4" customFormat="1">
      <c r="A374" s="18" t="s">
        <v>570</v>
      </c>
      <c r="B374" s="4" t="s">
        <v>18</v>
      </c>
      <c r="D374" s="4" t="s">
        <v>59</v>
      </c>
      <c r="E374" s="4" t="s">
        <v>88</v>
      </c>
      <c r="F374" s="4" t="s">
        <v>101</v>
      </c>
      <c r="G374" s="4" t="s">
        <v>23</v>
      </c>
      <c r="H374" s="4" t="s">
        <v>23</v>
      </c>
      <c r="I374" s="4" t="s">
        <v>23</v>
      </c>
      <c r="J374" s="4" t="s">
        <v>571</v>
      </c>
      <c r="M374" s="4" t="s">
        <v>47</v>
      </c>
      <c r="N374" s="4" t="s">
        <v>40</v>
      </c>
      <c r="O374" s="5" t="s">
        <v>572</v>
      </c>
      <c r="P374" s="4" t="s">
        <v>23</v>
      </c>
      <c r="Q374" s="4">
        <v>4</v>
      </c>
    </row>
    <row r="375" spans="1:17" s="4" customFormat="1">
      <c r="A375" s="18" t="s">
        <v>573</v>
      </c>
      <c r="B375" s="4" t="s">
        <v>18</v>
      </c>
      <c r="D375" s="4" t="s">
        <v>59</v>
      </c>
      <c r="E375" s="4" t="s">
        <v>19</v>
      </c>
      <c r="F375" s="4" t="s">
        <v>101</v>
      </c>
      <c r="G375" s="4" t="s">
        <v>23</v>
      </c>
      <c r="H375" s="4" t="s">
        <v>23</v>
      </c>
      <c r="I375" s="4" t="s">
        <v>23</v>
      </c>
      <c r="J375" s="4" t="s">
        <v>574</v>
      </c>
      <c r="K375" s="4" t="s">
        <v>25</v>
      </c>
      <c r="M375" s="4" t="s">
        <v>47</v>
      </c>
      <c r="N375" s="4" t="s">
        <v>28</v>
      </c>
      <c r="O375" s="5" t="s">
        <v>572</v>
      </c>
      <c r="P375" s="4" t="s">
        <v>23</v>
      </c>
      <c r="Q375" s="4">
        <v>4</v>
      </c>
    </row>
    <row r="376" spans="1:17" s="4" customFormat="1">
      <c r="A376" s="18" t="s">
        <v>575</v>
      </c>
      <c r="B376" s="4" t="s">
        <v>18</v>
      </c>
      <c r="D376" s="4" t="s">
        <v>59</v>
      </c>
      <c r="E376" s="4" t="s">
        <v>37</v>
      </c>
      <c r="F376" s="4" t="s">
        <v>101</v>
      </c>
      <c r="G376" s="4" t="s">
        <v>23</v>
      </c>
      <c r="H376" s="4" t="s">
        <v>23</v>
      </c>
      <c r="I376" s="4" t="s">
        <v>23</v>
      </c>
      <c r="J376" s="4" t="s">
        <v>574</v>
      </c>
      <c r="K376" s="4" t="s">
        <v>23</v>
      </c>
      <c r="M376" s="4" t="s">
        <v>103</v>
      </c>
      <c r="N376" s="4" t="s">
        <v>40</v>
      </c>
      <c r="O376" s="5" t="s">
        <v>576</v>
      </c>
      <c r="P376" s="4" t="s">
        <v>23</v>
      </c>
      <c r="Q376" s="4">
        <v>4</v>
      </c>
    </row>
    <row r="377" spans="1:17" s="4" customFormat="1">
      <c r="A377" s="18" t="s">
        <v>577</v>
      </c>
      <c r="B377" s="4" t="s">
        <v>18</v>
      </c>
      <c r="D377" s="4" t="s">
        <v>59</v>
      </c>
      <c r="E377" s="4" t="s">
        <v>32</v>
      </c>
      <c r="F377" s="4" t="s">
        <v>101</v>
      </c>
      <c r="G377" s="4" t="s">
        <v>23</v>
      </c>
      <c r="H377" s="4" t="s">
        <v>23</v>
      </c>
      <c r="I377" s="4" t="s">
        <v>23</v>
      </c>
      <c r="J377" s="4" t="s">
        <v>574</v>
      </c>
      <c r="K377" s="4" t="s">
        <v>25</v>
      </c>
      <c r="M377" s="4" t="s">
        <v>54</v>
      </c>
      <c r="N377" s="4" t="s">
        <v>85</v>
      </c>
      <c r="O377" s="5" t="s">
        <v>572</v>
      </c>
      <c r="P377" s="4" t="s">
        <v>23</v>
      </c>
      <c r="Q377" s="4">
        <v>4</v>
      </c>
    </row>
    <row r="378" spans="1:17" s="4" customFormat="1">
      <c r="A378" s="18" t="s">
        <v>578</v>
      </c>
      <c r="B378" s="4" t="s">
        <v>18</v>
      </c>
      <c r="D378" s="4" t="s">
        <v>59</v>
      </c>
      <c r="E378" s="4" t="s">
        <v>44</v>
      </c>
      <c r="F378" s="4" t="s">
        <v>101</v>
      </c>
      <c r="G378" s="4" t="s">
        <v>23</v>
      </c>
      <c r="H378" s="4" t="s">
        <v>23</v>
      </c>
      <c r="I378" s="4" t="s">
        <v>23</v>
      </c>
      <c r="J378" s="4" t="s">
        <v>574</v>
      </c>
      <c r="K378" s="4" t="s">
        <v>23</v>
      </c>
      <c r="M378" s="4" t="s">
        <v>27</v>
      </c>
      <c r="N378" s="4" t="s">
        <v>33</v>
      </c>
      <c r="O378" s="5" t="s">
        <v>572</v>
      </c>
      <c r="P378" s="4" t="s">
        <v>23</v>
      </c>
      <c r="Q378" s="4">
        <v>4</v>
      </c>
    </row>
    <row r="379" spans="1:17" s="4" customFormat="1">
      <c r="A379" s="18" t="s">
        <v>579</v>
      </c>
      <c r="B379" s="4" t="s">
        <v>18</v>
      </c>
      <c r="D379" s="4" t="s">
        <v>59</v>
      </c>
      <c r="E379" s="4" t="s">
        <v>37</v>
      </c>
      <c r="F379" s="4" t="s">
        <v>101</v>
      </c>
      <c r="G379" s="4" t="s">
        <v>23</v>
      </c>
      <c r="H379" s="4" t="s">
        <v>23</v>
      </c>
      <c r="I379" s="4" t="s">
        <v>23</v>
      </c>
      <c r="J379" s="4" t="s">
        <v>574</v>
      </c>
      <c r="K379" s="4" t="s">
        <v>25</v>
      </c>
      <c r="M379" s="4" t="s">
        <v>47</v>
      </c>
      <c r="N379" s="4" t="s">
        <v>33</v>
      </c>
      <c r="O379" s="5" t="s">
        <v>572</v>
      </c>
      <c r="P379" s="4" t="s">
        <v>23</v>
      </c>
      <c r="Q379" s="4">
        <v>4</v>
      </c>
    </row>
    <row r="380" spans="1:17" s="4" customFormat="1">
      <c r="A380" s="18" t="s">
        <v>580</v>
      </c>
      <c r="B380" s="4" t="s">
        <v>18</v>
      </c>
      <c r="D380" s="4" t="s">
        <v>59</v>
      </c>
      <c r="E380" s="4" t="s">
        <v>44</v>
      </c>
      <c r="F380" s="4" t="s">
        <v>101</v>
      </c>
      <c r="G380" s="4" t="s">
        <v>23</v>
      </c>
      <c r="H380" s="4" t="s">
        <v>23</v>
      </c>
      <c r="I380" s="4" t="s">
        <v>23</v>
      </c>
      <c r="J380" s="4" t="s">
        <v>574</v>
      </c>
      <c r="K380" s="4" t="s">
        <v>25</v>
      </c>
      <c r="M380" s="4" t="s">
        <v>47</v>
      </c>
      <c r="N380" s="4" t="s">
        <v>33</v>
      </c>
      <c r="O380" s="5" t="s">
        <v>572</v>
      </c>
      <c r="P380" s="4" t="s">
        <v>23</v>
      </c>
      <c r="Q380" s="4">
        <v>4</v>
      </c>
    </row>
    <row r="381" spans="1:17" s="4" customFormat="1">
      <c r="A381" s="18" t="s">
        <v>581</v>
      </c>
      <c r="B381" s="4" t="s">
        <v>18</v>
      </c>
      <c r="D381" s="4" t="s">
        <v>59</v>
      </c>
      <c r="E381" s="4" t="s">
        <v>44</v>
      </c>
      <c r="F381" s="4" t="s">
        <v>101</v>
      </c>
      <c r="G381" s="4" t="s">
        <v>23</v>
      </c>
      <c r="H381" s="4" t="s">
        <v>23</v>
      </c>
      <c r="I381" s="4" t="s">
        <v>23</v>
      </c>
      <c r="J381" s="4" t="s">
        <v>574</v>
      </c>
      <c r="K381" s="4" t="s">
        <v>25</v>
      </c>
      <c r="M381" s="4" t="s">
        <v>47</v>
      </c>
      <c r="N381" s="4" t="s">
        <v>33</v>
      </c>
      <c r="O381" s="5" t="s">
        <v>572</v>
      </c>
      <c r="P381" s="4" t="s">
        <v>23</v>
      </c>
      <c r="Q381" s="4">
        <v>4</v>
      </c>
    </row>
    <row r="382" spans="1:17" s="4" customFormat="1">
      <c r="A382" s="4" t="s">
        <v>582</v>
      </c>
      <c r="B382" s="4" t="s">
        <v>18</v>
      </c>
      <c r="D382" s="4" t="s">
        <v>20</v>
      </c>
      <c r="E382" s="4" t="s">
        <v>88</v>
      </c>
      <c r="F382" s="4" t="s">
        <v>22</v>
      </c>
      <c r="G382" s="4" t="s">
        <v>23</v>
      </c>
      <c r="H382" s="4" t="s">
        <v>23</v>
      </c>
      <c r="I382" s="4" t="s">
        <v>23</v>
      </c>
      <c r="J382" s="4" t="s">
        <v>583</v>
      </c>
      <c r="K382" s="4" t="s">
        <v>23</v>
      </c>
      <c r="M382" s="4" t="s">
        <v>27</v>
      </c>
      <c r="N382" s="4" t="s">
        <v>106</v>
      </c>
      <c r="O382" s="5" t="s">
        <v>584</v>
      </c>
      <c r="P382" s="4" t="s">
        <v>23</v>
      </c>
      <c r="Q382" s="4" t="s">
        <v>569</v>
      </c>
    </row>
    <row r="383" spans="1:17">
      <c r="A383" t="s">
        <v>585</v>
      </c>
      <c r="B383" t="s">
        <v>31</v>
      </c>
      <c r="E383" t="s">
        <v>19</v>
      </c>
      <c r="F383" t="s">
        <v>586</v>
      </c>
      <c r="G383" t="s">
        <v>25</v>
      </c>
      <c r="H383" t="s">
        <v>23</v>
      </c>
      <c r="I383" t="s">
        <v>23</v>
      </c>
      <c r="J383" t="s">
        <v>587</v>
      </c>
      <c r="K383" t="s">
        <v>25</v>
      </c>
      <c r="M383" t="s">
        <v>54</v>
      </c>
      <c r="N383" t="s">
        <v>64</v>
      </c>
      <c r="O383" s="3" t="s">
        <v>588</v>
      </c>
      <c r="P383" t="s">
        <v>23</v>
      </c>
      <c r="Q383">
        <v>3</v>
      </c>
    </row>
    <row r="384" spans="1:17">
      <c r="A384" t="s">
        <v>589</v>
      </c>
      <c r="B384" t="s">
        <v>31</v>
      </c>
      <c r="E384" t="s">
        <v>19</v>
      </c>
      <c r="F384" t="s">
        <v>586</v>
      </c>
      <c r="G384" t="s">
        <v>25</v>
      </c>
      <c r="H384" t="s">
        <v>23</v>
      </c>
      <c r="I384" t="s">
        <v>23</v>
      </c>
      <c r="J384" t="s">
        <v>587</v>
      </c>
      <c r="K384" t="s">
        <v>25</v>
      </c>
      <c r="M384" t="s">
        <v>54</v>
      </c>
      <c r="N384" t="s">
        <v>64</v>
      </c>
      <c r="O384" s="3" t="s">
        <v>590</v>
      </c>
      <c r="P384" t="s">
        <v>23</v>
      </c>
      <c r="Q384">
        <v>3</v>
      </c>
    </row>
    <row r="385" spans="1:17">
      <c r="A385" t="s">
        <v>591</v>
      </c>
      <c r="B385" t="s">
        <v>31</v>
      </c>
      <c r="E385" t="s">
        <v>19</v>
      </c>
      <c r="F385" t="s">
        <v>586</v>
      </c>
      <c r="G385" t="s">
        <v>25</v>
      </c>
      <c r="H385" t="s">
        <v>23</v>
      </c>
      <c r="I385" t="s">
        <v>23</v>
      </c>
      <c r="J385" t="s">
        <v>587</v>
      </c>
      <c r="K385" t="s">
        <v>25</v>
      </c>
      <c r="M385" t="s">
        <v>54</v>
      </c>
      <c r="N385" t="s">
        <v>64</v>
      </c>
      <c r="O385" s="3" t="s">
        <v>592</v>
      </c>
      <c r="P385" t="s">
        <v>23</v>
      </c>
      <c r="Q385">
        <v>3</v>
      </c>
    </row>
    <row r="386" spans="1:17">
      <c r="A386" t="s">
        <v>593</v>
      </c>
      <c r="B386" t="s">
        <v>31</v>
      </c>
      <c r="E386" t="s">
        <v>19</v>
      </c>
      <c r="F386" t="s">
        <v>114</v>
      </c>
      <c r="G386" t="s">
        <v>25</v>
      </c>
      <c r="H386" t="s">
        <v>23</v>
      </c>
      <c r="I386" t="s">
        <v>23</v>
      </c>
      <c r="J386" t="s">
        <v>587</v>
      </c>
      <c r="K386" t="s">
        <v>23</v>
      </c>
      <c r="M386" t="s">
        <v>47</v>
      </c>
      <c r="N386" t="s">
        <v>28</v>
      </c>
      <c r="O386" s="3" t="s">
        <v>594</v>
      </c>
      <c r="P386" t="s">
        <v>23</v>
      </c>
      <c r="Q386">
        <v>4</v>
      </c>
    </row>
    <row r="387" spans="1:17">
      <c r="A387" t="s">
        <v>595</v>
      </c>
      <c r="B387" t="s">
        <v>31</v>
      </c>
      <c r="E387" t="s">
        <v>191</v>
      </c>
      <c r="F387" t="s">
        <v>586</v>
      </c>
      <c r="G387" t="s">
        <v>25</v>
      </c>
      <c r="H387" t="s">
        <v>23</v>
      </c>
      <c r="I387" t="s">
        <v>23</v>
      </c>
      <c r="J387" t="s">
        <v>587</v>
      </c>
      <c r="K387" t="s">
        <v>23</v>
      </c>
      <c r="L387" t="s">
        <v>596</v>
      </c>
      <c r="M387" t="s">
        <v>27</v>
      </c>
      <c r="N387" t="s">
        <v>106</v>
      </c>
      <c r="O387" s="3" t="s">
        <v>597</v>
      </c>
      <c r="P387" t="s">
        <v>23</v>
      </c>
      <c r="Q387">
        <v>3</v>
      </c>
    </row>
    <row r="388" spans="1:17">
      <c r="A388" t="s">
        <v>598</v>
      </c>
      <c r="B388" t="s">
        <v>31</v>
      </c>
      <c r="E388" t="s">
        <v>191</v>
      </c>
      <c r="F388" t="s">
        <v>586</v>
      </c>
      <c r="G388" t="s">
        <v>25</v>
      </c>
      <c r="H388" t="s">
        <v>23</v>
      </c>
      <c r="I388" t="s">
        <v>23</v>
      </c>
      <c r="J388" t="s">
        <v>587</v>
      </c>
      <c r="K388" t="s">
        <v>23</v>
      </c>
      <c r="L388" t="s">
        <v>596</v>
      </c>
      <c r="M388" t="s">
        <v>27</v>
      </c>
      <c r="N388" t="s">
        <v>106</v>
      </c>
      <c r="O388" s="3" t="s">
        <v>599</v>
      </c>
      <c r="P388" t="s">
        <v>23</v>
      </c>
      <c r="Q388">
        <v>3</v>
      </c>
    </row>
    <row r="389" spans="1:17">
      <c r="A389" t="s">
        <v>600</v>
      </c>
      <c r="B389" t="s">
        <v>31</v>
      </c>
      <c r="E389" t="s">
        <v>37</v>
      </c>
      <c r="F389" t="s">
        <v>114</v>
      </c>
      <c r="G389" t="s">
        <v>25</v>
      </c>
      <c r="H389" t="s">
        <v>23</v>
      </c>
      <c r="I389" t="s">
        <v>25</v>
      </c>
      <c r="J389" t="s">
        <v>601</v>
      </c>
      <c r="K389" t="s">
        <v>25</v>
      </c>
      <c r="M389" t="s">
        <v>27</v>
      </c>
      <c r="N389" t="s">
        <v>40</v>
      </c>
    </row>
  </sheetData>
  <autoFilter ref="A1:S368" xr:uid="{00000000-0009-0000-0000-000000000000}">
    <sortState xmlns:xlrd2="http://schemas.microsoft.com/office/spreadsheetml/2017/richdata2" ref="A2:S367">
      <sortCondition descending="1" ref="F1:F367"/>
    </sortState>
  </autoFilter>
  <dataValidations count="1">
    <dataValidation allowBlank="1" showInputMessage="1" showErrorMessage="1" sqref="I1" xr:uid="{2005A282-A29B-421F-9235-BD1B8E8EBA87}"/>
  </dataValidations>
  <hyperlinks>
    <hyperlink ref="O359" r:id="rId1" xr:uid="{81B1B3AD-A299-4B06-A581-58BFACE34D54}"/>
    <hyperlink ref="O76" r:id="rId2" xr:uid="{EB67010B-B657-4ADF-9C73-FCE2C1EBB3A5}"/>
    <hyperlink ref="O65" r:id="rId3" xr:uid="{08FEE12F-EA87-412C-A4F2-BC1B732B34F6}"/>
    <hyperlink ref="O25" r:id="rId4" xr:uid="{7FDE11EC-7FD3-4B59-BE81-5DE6D8121777}"/>
    <hyperlink ref="O70" r:id="rId5" xr:uid="{AE44841D-75C4-4484-87C1-0DF7DE047EE6}"/>
    <hyperlink ref="O72" r:id="rId6" xr:uid="{9E6D0BDC-4F6D-4ACD-AC97-92D163967D3F}"/>
    <hyperlink ref="O77" r:id="rId7" xr:uid="{838FB435-348D-4546-BA68-890075AE5166}"/>
    <hyperlink ref="O71" r:id="rId8" xr:uid="{39985F46-3AE8-4A5F-B360-2CF3C6E36D08}"/>
    <hyperlink ref="O52" r:id="rId9" xr:uid="{F80C5E21-D022-4C30-B63B-125BE337C893}"/>
    <hyperlink ref="O53" r:id="rId10" xr:uid="{B27A893E-B7CE-4943-8102-841A7BECDD49}"/>
    <hyperlink ref="O59" r:id="rId11" xr:uid="{5C52DE22-20E2-465F-B967-5FF2C0DF7523}"/>
    <hyperlink ref="O60" r:id="rId12" xr:uid="{7C702DD0-51F8-468D-B1C5-B88F35FC2174}"/>
    <hyperlink ref="O61" r:id="rId13" xr:uid="{2AE761A2-100C-4547-A97B-69CBCFFDEA00}"/>
    <hyperlink ref="O51" r:id="rId14" xr:uid="{7B477E08-D583-44BD-80A0-F85F9D3DB500}"/>
    <hyperlink ref="O49" r:id="rId15" xr:uid="{8BE5160E-0529-4483-879E-CEA83AABB6E2}"/>
    <hyperlink ref="O62" r:id="rId16" xr:uid="{B93D0469-2084-4C46-A5F9-16FB8901D372}"/>
    <hyperlink ref="O78" r:id="rId17" xr:uid="{0DE56850-A3B1-4FB5-8EAC-FB95FC8D95FE}"/>
    <hyperlink ref="O19" r:id="rId18" xr:uid="{FBA2B5F8-C338-483B-8579-6326B101F272}"/>
    <hyperlink ref="O118" r:id="rId19" xr:uid="{937B4A02-79BB-422F-9DA1-A0A8F6E31A93}"/>
    <hyperlink ref="O66" r:id="rId20" xr:uid="{7570DB50-C1BD-48F4-858B-019FDF061AE5}"/>
    <hyperlink ref="O50" r:id="rId21" xr:uid="{DE434701-6C3F-4A16-BA07-A074E3D7E7D0}"/>
    <hyperlink ref="O63" r:id="rId22" xr:uid="{0686A7DF-DE50-4000-958C-C423CE61A64E}"/>
    <hyperlink ref="O64" r:id="rId23" xr:uid="{840D728F-B9FE-4403-B6A8-2A803272D689}"/>
    <hyperlink ref="O360" r:id="rId24" xr:uid="{4221DAD4-1A1F-4247-8847-7D54AEC6C612}"/>
    <hyperlink ref="O361" r:id="rId25" xr:uid="{0A068B22-CEFC-41C1-83A6-976D5D4CAD60}"/>
    <hyperlink ref="O362" r:id="rId26" xr:uid="{44899342-9EFB-4C6B-88D1-E98288EE4C38}"/>
    <hyperlink ref="O2" r:id="rId27" xr:uid="{3BE6EFBC-2899-4EFC-B75D-8AD019429909}"/>
    <hyperlink ref="O363" r:id="rId28" xr:uid="{F750A81B-A7D6-4647-A513-0E798C1BCBD6}"/>
    <hyperlink ref="O27" r:id="rId29" xr:uid="{ACD3DBE4-E664-470A-BE8B-05ADCC020018}"/>
    <hyperlink ref="O24" r:id="rId30" xr:uid="{67C34577-71CE-413D-8E09-3796E1605C3C}"/>
    <hyperlink ref="O15" r:id="rId31" xr:uid="{C2826669-A947-41B8-957C-DF211E67C30B}"/>
    <hyperlink ref="O14" r:id="rId32" xr:uid="{E0E5AEDE-5D0F-4DDD-8EDB-7C03696419E9}"/>
    <hyperlink ref="O11" r:id="rId33" xr:uid="{E05EEFD9-BD95-4F30-8EA2-0303365D6A7D}"/>
    <hyperlink ref="O18" r:id="rId34" xr:uid="{C63BC916-20E6-4942-A0FA-983C4EB4AB1C}"/>
    <hyperlink ref="O5" r:id="rId35" xr:uid="{65AE2A26-227A-4CC4-B677-26978FA4A1E1}"/>
    <hyperlink ref="O6" r:id="rId36" xr:uid="{7461A4E6-3D61-43BD-BBF0-F4136E688FD9}"/>
    <hyperlink ref="O10" r:id="rId37" xr:uid="{1B61B26D-FB92-431A-A4AF-B7B20F1788D2}"/>
    <hyperlink ref="O9" r:id="rId38" xr:uid="{5A773450-C890-4B5B-8BEB-E9AC6D6693ED}"/>
    <hyperlink ref="O20:O21" r:id="rId39" display="SEANCES" xr:uid="{3F90CED6-1073-4FD8-8B6C-5D1DD6D8F04F}"/>
    <hyperlink ref="O29" r:id="rId40" xr:uid="{577B152C-224C-4048-92CB-294DDF40F042}"/>
    <hyperlink ref="O30" r:id="rId41" xr:uid="{BBCD84E2-BE91-413B-B289-85B8F675FA94}"/>
    <hyperlink ref="O31:O32" r:id="rId42" display="Etape 2- Recherche Création Partage 9H" xr:uid="{1DF3E17A-DFD2-44F8-954C-DE28CE2CE774}"/>
    <hyperlink ref="O33" r:id="rId43" xr:uid="{755ACF88-476E-484C-AA5C-E964DDC8750B}"/>
    <hyperlink ref="O365" r:id="rId44" xr:uid="{50D61A94-43EF-4D06-8E45-F6DA04F37D5A}"/>
    <hyperlink ref="O292" r:id="rId45" xr:uid="{5765C495-E419-45D4-BC7C-3571F0855602}"/>
    <hyperlink ref="O294" r:id="rId46" xr:uid="{E5E5E7BD-FF4E-4903-877C-AB2437BAC9D5}"/>
    <hyperlink ref="O295" r:id="rId47" xr:uid="{60EE65D6-0A2C-4538-A44D-2B6208E49E53}"/>
    <hyperlink ref="O296" r:id="rId48" xr:uid="{9DF37539-493A-4CEF-9C91-F4F320274FE1}"/>
    <hyperlink ref="O297" r:id="rId49" xr:uid="{B15A24E3-7FCD-452C-841D-C91FB77E518F}"/>
    <hyperlink ref="O298" r:id="rId50" xr:uid="{75A4133E-B073-4F9F-A19B-AB6986D377A8}"/>
    <hyperlink ref="O299" r:id="rId51" xr:uid="{3248D35D-A2D2-4656-9C4A-09DA094D276B}"/>
    <hyperlink ref="O300" r:id="rId52" xr:uid="{9BFDF24D-AB82-4657-98DC-737F464FEF05}"/>
    <hyperlink ref="O301" r:id="rId53" xr:uid="{E2087384-E289-4FF6-9DA5-8FA72A4ED3C3}"/>
    <hyperlink ref="O302" r:id="rId54" xr:uid="{EBA78BA1-7AF8-464D-90DF-792E12BFB515}"/>
    <hyperlink ref="O303" r:id="rId55" xr:uid="{E72187CC-0FE8-41AA-AED5-0E243F502767}"/>
    <hyperlink ref="O306" r:id="rId56" xr:uid="{2769085A-FE0E-4D48-A70B-40730C5785B4}"/>
    <hyperlink ref="O307" r:id="rId57" xr:uid="{C2743F96-8181-44DA-BFA3-45105CD81107}"/>
    <hyperlink ref="O308" r:id="rId58" xr:uid="{80D271A2-8EAD-464C-829E-C12645DD40F2}"/>
    <hyperlink ref="O309" r:id="rId59" xr:uid="{0E07AC20-8903-4298-98A7-55A69E0B0399}"/>
    <hyperlink ref="O310" r:id="rId60" xr:uid="{8E32B3FF-0DC6-4A32-ABC5-0CD8F13E22AD}"/>
    <hyperlink ref="O313" r:id="rId61" xr:uid="{EE0AF3F5-B120-4774-83DC-B2AF683389EA}"/>
    <hyperlink ref="O119" r:id="rId62" xr:uid="{BCF84847-7928-4074-8CC8-3A3C027E5EB0}"/>
    <hyperlink ref="O4" r:id="rId63" xr:uid="{B8EC6E0B-F30A-4957-85D4-4F7CD5558FEF}"/>
    <hyperlink ref="O34" r:id="rId64" xr:uid="{BFCB96F9-6568-41DD-9361-821B2E73BAA1}"/>
    <hyperlink ref="O35" r:id="rId65" xr:uid="{DFD869BA-8E2F-4076-BB9D-3D3FC2974225}"/>
    <hyperlink ref="O36" r:id="rId66" xr:uid="{9BD00347-ADF2-42F2-8DE5-1A7F0E01D564}"/>
    <hyperlink ref="O48" r:id="rId67" xr:uid="{A8747C5C-B463-44FB-B998-77A7E244FC9F}"/>
    <hyperlink ref="O47" r:id="rId68" xr:uid="{BBDA36F3-1A9A-42E2-8372-BC8C2FD38178}"/>
    <hyperlink ref="O46" r:id="rId69" xr:uid="{2732FF51-B60A-4148-8FD6-2095864FCA6D}"/>
    <hyperlink ref="O37" r:id="rId70" xr:uid="{BA1A092A-D956-4C79-B858-8FA3B9D437E7}"/>
    <hyperlink ref="O38" r:id="rId71" xr:uid="{3840E787-92F6-4878-93C9-8CF17BDB999A}"/>
    <hyperlink ref="O39" r:id="rId72" xr:uid="{4A1A4764-76AC-41E6-BC4A-F05DC03DF8F0}"/>
    <hyperlink ref="O40" r:id="rId73" xr:uid="{E68CEB42-9460-4A4A-8875-D903795CAA6E}"/>
    <hyperlink ref="O41" r:id="rId74" xr:uid="{58E20FFB-CF4F-4DBC-B054-698C92991A2A}"/>
    <hyperlink ref="O42" r:id="rId75" xr:uid="{B4CD43DF-7CD2-4EBE-A365-A39B7704D282}"/>
    <hyperlink ref="O43" r:id="rId76" xr:uid="{8B862CC6-6ECD-401F-8E00-FEC38AAE0A76}"/>
    <hyperlink ref="O44" r:id="rId77" xr:uid="{7157F620-71BC-40C6-9D4B-6C16E16BF34E}"/>
    <hyperlink ref="O45" r:id="rId78" xr:uid="{FF37F03B-D37F-4CCB-8474-09B211514DAE}"/>
    <hyperlink ref="O120" r:id="rId79" xr:uid="{EDD34C38-BDCE-4F20-BF6B-11930F8CB3DB}"/>
    <hyperlink ref="O128" r:id="rId80" xr:uid="{CCC7D209-F7D7-4862-BA71-98A73DDD7FE7}"/>
    <hyperlink ref="O366" r:id="rId81" xr:uid="{8724E1EE-8BBB-4E6D-ADBF-EDFDDCEB73E8}"/>
    <hyperlink ref="O116" r:id="rId82" xr:uid="{1A911090-B1D5-438D-97C5-FA32ED162D8E}"/>
    <hyperlink ref="O372" r:id="rId83" xr:uid="{8D12362A-4464-41EE-AE02-E2A8ABA8980E}"/>
    <hyperlink ref="O373" r:id="rId84" xr:uid="{6C3432F0-033F-4ACF-A6FE-BEF6987D02A3}"/>
    <hyperlink ref="O374" r:id="rId85" xr:uid="{939342D2-606E-4320-9B98-23F119D02425}"/>
    <hyperlink ref="O375" r:id="rId86" xr:uid="{1A85EB82-8B37-406C-93DF-6EEADC28641F}"/>
    <hyperlink ref="O377" r:id="rId87" xr:uid="{47EC84F1-DD48-4937-B58F-E5EBC16426EB}"/>
    <hyperlink ref="O378" r:id="rId88" xr:uid="{411DA830-8A2A-430A-BBAE-B3193E02E904}"/>
    <hyperlink ref="O379" r:id="rId89" xr:uid="{91A365DA-04B6-42D8-90D1-06FC89D3FE46}"/>
    <hyperlink ref="O380" r:id="rId90" xr:uid="{4EAEC67A-C985-44E7-A81F-240C348C2951}"/>
    <hyperlink ref="O381" r:id="rId91" xr:uid="{C579F19D-8732-42BD-99B0-EBB47060F6A6}"/>
    <hyperlink ref="O376" r:id="rId92" xr:uid="{36814F8B-EDEA-4FC4-9B70-A7D0BD28164A}"/>
    <hyperlink ref="O382" r:id="rId93" xr:uid="{3A00B3E2-1816-4109-ABB8-D79239DA361B}"/>
    <hyperlink ref="O368" r:id="rId94" xr:uid="{0C6337B1-A95F-47BD-B3B8-C7BE17EBD32D}"/>
    <hyperlink ref="O367" r:id="rId95" xr:uid="{34DA3CE6-E7F1-4AA4-8030-CBAF8D0A3041}"/>
    <hyperlink ref="O117" r:id="rId96" xr:uid="{5A48BCD4-98CF-41ED-8CFB-C0AB36362833}"/>
    <hyperlink ref="O114" r:id="rId97" xr:uid="{2AE54F17-E3CE-4D75-9D42-DABF8066636A}"/>
    <hyperlink ref="O113" r:id="rId98" xr:uid="{82546F6C-5227-487E-B5F8-1DC1AEBED58C}"/>
    <hyperlink ref="O383" r:id="rId99" xr:uid="{3F251E20-8B6E-4DA1-B4E4-E467C5CAD9C6}"/>
    <hyperlink ref="O384" r:id="rId100" xr:uid="{504C098B-3EA9-4C79-A7F4-46DBF13F7F73}"/>
    <hyperlink ref="O385" r:id="rId101" xr:uid="{181E57BE-367D-4508-8CDD-ABA2BF326E39}"/>
    <hyperlink ref="O386" r:id="rId102" xr:uid="{D4F11F34-3847-47C8-9E1A-9A98DCB39F41}"/>
    <hyperlink ref="O387" r:id="rId103" xr:uid="{F7E0E4E2-4F69-4A93-84B7-3739BE90F2F9}"/>
    <hyperlink ref="O388" r:id="rId104" xr:uid="{6F0F102B-C46D-4AD1-89C1-5A719714D281}"/>
  </hyperlinks>
  <pageMargins left="0.7" right="0.7" top="0.75" bottom="0.75" header="0.3" footer="0.3"/>
  <pageSetup paperSize="8"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000-000007000000}">
          <x14:formula1>
            <xm:f>src!$H$2:$H$3</xm:f>
          </x14:formula1>
          <xm:sqref>K1:K4 I2:I261 P66:P1048576 P1:P64 K6:K58 G1:H261 G262:I1048576 K61:K1048576</xm:sqref>
        </x14:dataValidation>
        <x14:dataValidation type="list" allowBlank="1" showInputMessage="1" showErrorMessage="1" xr:uid="{00000000-0002-0000-0000-000003000000}">
          <x14:formula1>
            <xm:f>src!$E$2:$E$24</xm:f>
          </x14:formula1>
          <xm:sqref>F1:F1048576</xm:sqref>
        </x14:dataValidation>
        <x14:dataValidation type="list" allowBlank="1" showInputMessage="1" showErrorMessage="1" xr:uid="{00000000-0002-0000-0000-000000000000}">
          <x14:formula1>
            <xm:f>src!$A$2:$A$3</xm:f>
          </x14:formula1>
          <xm:sqref>B2:B1048576</xm:sqref>
        </x14:dataValidation>
        <x14:dataValidation type="list" allowBlank="1" showInputMessage="1" showErrorMessage="1" xr:uid="{00000000-0002-0000-0000-000001000000}">
          <x14:formula1>
            <xm:f>src!$G$2:$G$7</xm:f>
          </x14:formula1>
          <xm:sqref>N2:N1048576</xm:sqref>
        </x14:dataValidation>
        <x14:dataValidation type="list" allowBlank="1" showInputMessage="1" showErrorMessage="1" xr:uid="{00000000-0002-0000-0000-000002000000}">
          <x14:formula1>
            <xm:f>src!$C$2:$C$7</xm:f>
          </x14:formula1>
          <xm:sqref>D2:D1048576</xm:sqref>
        </x14:dataValidation>
        <x14:dataValidation type="list" allowBlank="1" showInputMessage="1" showErrorMessage="1" xr:uid="{00000000-0002-0000-0000-000004000000}">
          <x14:formula1>
            <xm:f>src!$B$2:$B$8</xm:f>
          </x14:formula1>
          <xm:sqref>C1:C1048576</xm:sqref>
        </x14:dataValidation>
        <x14:dataValidation type="list" allowBlank="1" showInputMessage="1" showErrorMessage="1" xr:uid="{00000000-0002-0000-0000-000006000000}">
          <x14:formula1>
            <xm:f>src!$F$2:$F$5</xm:f>
          </x14:formula1>
          <xm:sqref>M1:M1048576</xm:sqref>
        </x14:dataValidation>
        <x14:dataValidation type="list" allowBlank="1" showInputMessage="1" showErrorMessage="1" xr:uid="{7CE24206-905E-43B3-833F-567BA5548597}">
          <x14:formula1>
            <xm:f>src!$D$2:$D$28</xm:f>
          </x14:formula1>
          <xm:sqref>E1:E1048576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D056E-3130-45FE-B867-DA9C2A762603}">
  <sheetPr>
    <pageSetUpPr fitToPage="1"/>
  </sheetPr>
  <dimension ref="A3:E354"/>
  <sheetViews>
    <sheetView workbookViewId="0">
      <selection activeCell="C30" sqref="C30"/>
    </sheetView>
  </sheetViews>
  <sheetFormatPr defaultRowHeight="15"/>
  <cols>
    <col min="1" max="1" width="19" bestFit="1" customWidth="1"/>
    <col min="2" max="2" width="32.85546875" customWidth="1"/>
    <col min="3" max="3" width="19.28515625" style="13" customWidth="1"/>
    <col min="4" max="4" width="17.7109375" bestFit="1" customWidth="1"/>
    <col min="5" max="5" width="13.5703125" customWidth="1"/>
    <col min="6" max="6" width="13.5703125" bestFit="1" customWidth="1"/>
    <col min="7" max="7" width="36" bestFit="1" customWidth="1"/>
    <col min="8" max="8" width="33.140625" bestFit="1" customWidth="1"/>
    <col min="9" max="9" width="12.5703125" bestFit="1" customWidth="1"/>
    <col min="10" max="10" width="14.28515625" bestFit="1" customWidth="1"/>
    <col min="11" max="11" width="15.85546875" bestFit="1" customWidth="1"/>
    <col min="12" max="12" width="19.85546875" bestFit="1" customWidth="1"/>
    <col min="13" max="13" width="22.5703125" bestFit="1" customWidth="1"/>
    <col min="14" max="14" width="43.140625" bestFit="1" customWidth="1"/>
    <col min="15" max="15" width="9.42578125" bestFit="1" customWidth="1"/>
    <col min="16" max="16" width="35.5703125" bestFit="1" customWidth="1"/>
    <col min="17" max="17" width="29.85546875" bestFit="1" customWidth="1"/>
    <col min="18" max="18" width="16.5703125" bestFit="1" customWidth="1"/>
    <col min="19" max="19" width="18.140625" bestFit="1" customWidth="1"/>
    <col min="20" max="20" width="27.28515625" bestFit="1" customWidth="1"/>
    <col min="21" max="21" width="88" bestFit="1" customWidth="1"/>
    <col min="22" max="22" width="21.85546875" bestFit="1" customWidth="1"/>
    <col min="23" max="23" width="9.85546875" bestFit="1" customWidth="1"/>
    <col min="24" max="24" width="19" bestFit="1" customWidth="1"/>
    <col min="25" max="25" width="22.5703125" bestFit="1" customWidth="1"/>
    <col min="26" max="26" width="30" bestFit="1" customWidth="1"/>
    <col min="27" max="27" width="18.85546875" bestFit="1" customWidth="1"/>
    <col min="28" max="28" width="8.28515625" bestFit="1" customWidth="1"/>
    <col min="29" max="29" width="11.85546875" bestFit="1" customWidth="1"/>
    <col min="30" max="30" width="25.85546875" bestFit="1" customWidth="1"/>
    <col min="31" max="31" width="20.42578125" bestFit="1" customWidth="1"/>
    <col min="32" max="32" width="17.42578125" bestFit="1" customWidth="1"/>
    <col min="33" max="33" width="35" bestFit="1" customWidth="1"/>
    <col min="34" max="34" width="35.42578125" bestFit="1" customWidth="1"/>
    <col min="35" max="35" width="14.42578125" bestFit="1" customWidth="1"/>
    <col min="36" max="36" width="19" bestFit="1" customWidth="1"/>
    <col min="37" max="37" width="9.7109375" bestFit="1" customWidth="1"/>
    <col min="38" max="38" width="19.42578125" bestFit="1" customWidth="1"/>
    <col min="39" max="39" width="10" bestFit="1" customWidth="1"/>
    <col min="40" max="40" width="11.28515625" bestFit="1" customWidth="1"/>
    <col min="41" max="41" width="15.5703125" bestFit="1" customWidth="1"/>
    <col min="42" max="42" width="29.28515625" bestFit="1" customWidth="1"/>
    <col min="43" max="43" width="22.7109375" bestFit="1" customWidth="1"/>
    <col min="44" max="44" width="28.140625" bestFit="1" customWidth="1"/>
    <col min="45" max="45" width="17" bestFit="1" customWidth="1"/>
    <col min="46" max="46" width="22.28515625" bestFit="1" customWidth="1"/>
    <col min="47" max="47" width="17.140625" bestFit="1" customWidth="1"/>
    <col min="48" max="48" width="6.42578125" bestFit="1" customWidth="1"/>
    <col min="49" max="49" width="25" bestFit="1" customWidth="1"/>
    <col min="50" max="50" width="16.28515625" bestFit="1" customWidth="1"/>
    <col min="51" max="51" width="16" bestFit="1" customWidth="1"/>
    <col min="52" max="52" width="21" bestFit="1" customWidth="1"/>
    <col min="53" max="53" width="32.42578125" bestFit="1" customWidth="1"/>
    <col min="54" max="54" width="23.28515625" bestFit="1" customWidth="1"/>
    <col min="55" max="55" width="31.7109375" bestFit="1" customWidth="1"/>
    <col min="56" max="56" width="30.42578125" bestFit="1" customWidth="1"/>
    <col min="57" max="57" width="27.140625" bestFit="1" customWidth="1"/>
    <col min="58" max="58" width="20.28515625" bestFit="1" customWidth="1"/>
    <col min="59" max="59" width="19" bestFit="1" customWidth="1"/>
    <col min="60" max="60" width="29.85546875" bestFit="1" customWidth="1"/>
    <col min="61" max="61" width="41.140625" bestFit="1" customWidth="1"/>
    <col min="62" max="62" width="15.85546875" bestFit="1" customWidth="1"/>
    <col min="63" max="63" width="17.7109375" bestFit="1" customWidth="1"/>
    <col min="64" max="64" width="6" bestFit="1" customWidth="1"/>
    <col min="65" max="65" width="24.28515625" bestFit="1" customWidth="1"/>
    <col min="66" max="66" width="29" bestFit="1" customWidth="1"/>
    <col min="67" max="67" width="3.5703125" bestFit="1" customWidth="1"/>
    <col min="68" max="68" width="14.140625" bestFit="1" customWidth="1"/>
    <col min="69" max="69" width="40.42578125" bestFit="1" customWidth="1"/>
    <col min="70" max="70" width="10.42578125" bestFit="1" customWidth="1"/>
    <col min="71" max="71" width="31.7109375" bestFit="1" customWidth="1"/>
    <col min="72" max="72" width="29.42578125" bestFit="1" customWidth="1"/>
    <col min="73" max="73" width="38.85546875" bestFit="1" customWidth="1"/>
    <col min="75" max="75" width="19.28515625" bestFit="1" customWidth="1"/>
    <col min="76" max="76" width="12.85546875" bestFit="1" customWidth="1"/>
    <col min="77" max="77" width="24.28515625" bestFit="1" customWidth="1"/>
    <col min="78" max="78" width="19.5703125" bestFit="1" customWidth="1"/>
    <col min="79" max="79" width="16" bestFit="1" customWidth="1"/>
    <col min="80" max="80" width="34.85546875" bestFit="1" customWidth="1"/>
    <col min="81" max="81" width="7.140625" bestFit="1" customWidth="1"/>
    <col min="82" max="82" width="14.42578125" bestFit="1" customWidth="1"/>
    <col min="83" max="83" width="40.85546875" bestFit="1" customWidth="1"/>
    <col min="84" max="84" width="9.28515625" bestFit="1" customWidth="1"/>
    <col min="85" max="85" width="27" bestFit="1" customWidth="1"/>
    <col min="86" max="86" width="21.85546875" bestFit="1" customWidth="1"/>
    <col min="87" max="87" width="25.42578125" bestFit="1" customWidth="1"/>
    <col min="88" max="88" width="13.5703125" bestFit="1" customWidth="1"/>
    <col min="89" max="89" width="17.140625" bestFit="1" customWidth="1"/>
    <col min="90" max="90" width="25.28515625" bestFit="1" customWidth="1"/>
    <col min="91" max="91" width="15" bestFit="1" customWidth="1"/>
    <col min="92" max="92" width="11.7109375" bestFit="1" customWidth="1"/>
    <col min="93" max="93" width="19" bestFit="1" customWidth="1"/>
    <col min="94" max="94" width="16.7109375" bestFit="1" customWidth="1"/>
    <col min="95" max="95" width="11.28515625" bestFit="1" customWidth="1"/>
    <col min="96" max="96" width="18.85546875" bestFit="1" customWidth="1"/>
    <col min="97" max="97" width="36.7109375" bestFit="1" customWidth="1"/>
    <col min="98" max="98" width="25" bestFit="1" customWidth="1"/>
    <col min="99" max="99" width="23" bestFit="1" customWidth="1"/>
    <col min="100" max="100" width="36.140625" bestFit="1" customWidth="1"/>
    <col min="101" max="101" width="35.7109375" bestFit="1" customWidth="1"/>
    <col min="102" max="102" width="26.28515625" bestFit="1" customWidth="1"/>
    <col min="103" max="103" width="44.28515625" bestFit="1" customWidth="1"/>
    <col min="104" max="104" width="34" bestFit="1" customWidth="1"/>
    <col min="105" max="106" width="40" bestFit="1" customWidth="1"/>
    <col min="107" max="107" width="34.5703125" bestFit="1" customWidth="1"/>
    <col min="108" max="108" width="41.28515625" bestFit="1" customWidth="1"/>
    <col min="109" max="109" width="45.85546875" bestFit="1" customWidth="1"/>
    <col min="110" max="110" width="37" bestFit="1" customWidth="1"/>
    <col min="111" max="111" width="46.140625" bestFit="1" customWidth="1"/>
    <col min="112" max="112" width="52.7109375" bestFit="1" customWidth="1"/>
    <col min="113" max="113" width="49.42578125" bestFit="1" customWidth="1"/>
    <col min="114" max="114" width="9.5703125" bestFit="1" customWidth="1"/>
    <col min="115" max="115" width="8" bestFit="1" customWidth="1"/>
    <col min="116" max="116" width="18" bestFit="1" customWidth="1"/>
    <col min="117" max="117" width="38.28515625" bestFit="1" customWidth="1"/>
    <col min="118" max="118" width="9.7109375" bestFit="1" customWidth="1"/>
    <col min="119" max="119" width="20.140625" bestFit="1" customWidth="1"/>
    <col min="120" max="120" width="23.42578125" bestFit="1" customWidth="1"/>
    <col min="121" max="123" width="23.7109375" bestFit="1" customWidth="1"/>
    <col min="124" max="124" width="23.140625" bestFit="1" customWidth="1"/>
    <col min="125" max="125" width="30.28515625" bestFit="1" customWidth="1"/>
    <col min="126" max="126" width="16.7109375" bestFit="1" customWidth="1"/>
    <col min="127" max="127" width="27.42578125" bestFit="1" customWidth="1"/>
    <col min="128" max="128" width="22.5703125" bestFit="1" customWidth="1"/>
    <col min="129" max="129" width="51.7109375" bestFit="1" customWidth="1"/>
    <col min="130" max="130" width="50.5703125" bestFit="1" customWidth="1"/>
    <col min="131" max="131" width="59.85546875" bestFit="1" customWidth="1"/>
    <col min="132" max="132" width="12" bestFit="1" customWidth="1"/>
    <col min="133" max="133" width="29.85546875" bestFit="1" customWidth="1"/>
    <col min="134" max="135" width="22.28515625" bestFit="1" customWidth="1"/>
    <col min="136" max="136" width="19.42578125" bestFit="1" customWidth="1"/>
    <col min="137" max="137" width="21.5703125" bestFit="1" customWidth="1"/>
    <col min="138" max="138" width="19.5703125" bestFit="1" customWidth="1"/>
    <col min="139" max="139" width="35.28515625" bestFit="1" customWidth="1"/>
    <col min="140" max="140" width="35.42578125" bestFit="1" customWidth="1"/>
    <col min="141" max="141" width="22.42578125" bestFit="1" customWidth="1"/>
    <col min="142" max="142" width="22.28515625" bestFit="1" customWidth="1"/>
    <col min="143" max="143" width="10.140625" bestFit="1" customWidth="1"/>
    <col min="144" max="144" width="26.28515625" bestFit="1" customWidth="1"/>
    <col min="145" max="145" width="18.140625" bestFit="1" customWidth="1"/>
    <col min="146" max="146" width="12.7109375" bestFit="1" customWidth="1"/>
    <col min="147" max="147" width="17" bestFit="1" customWidth="1"/>
    <col min="148" max="148" width="17.85546875" bestFit="1" customWidth="1"/>
    <col min="149" max="149" width="27" bestFit="1" customWidth="1"/>
    <col min="150" max="150" width="48.42578125" bestFit="1" customWidth="1"/>
    <col min="151" max="151" width="9.42578125" bestFit="1" customWidth="1"/>
    <col min="152" max="152" width="23.140625" bestFit="1" customWidth="1"/>
    <col min="153" max="153" width="24" bestFit="1" customWidth="1"/>
    <col min="154" max="154" width="19.85546875" bestFit="1" customWidth="1"/>
    <col min="155" max="155" width="18.7109375" bestFit="1" customWidth="1"/>
    <col min="156" max="156" width="12.42578125" bestFit="1" customWidth="1"/>
    <col min="157" max="157" width="22" bestFit="1" customWidth="1"/>
    <col min="158" max="158" width="19.5703125" bestFit="1" customWidth="1"/>
    <col min="159" max="159" width="23.42578125" bestFit="1" customWidth="1"/>
    <col min="160" max="160" width="30.7109375" bestFit="1" customWidth="1"/>
    <col min="161" max="161" width="9.42578125" bestFit="1" customWidth="1"/>
    <col min="162" max="162" width="28.140625" bestFit="1" customWidth="1"/>
    <col min="163" max="163" width="27.140625" bestFit="1" customWidth="1"/>
    <col min="164" max="164" width="28.5703125" bestFit="1" customWidth="1"/>
    <col min="165" max="165" width="9.7109375" bestFit="1" customWidth="1"/>
    <col min="166" max="166" width="24.5703125" bestFit="1" customWidth="1"/>
    <col min="167" max="167" width="11.85546875" bestFit="1" customWidth="1"/>
    <col min="168" max="168" width="11.7109375" bestFit="1" customWidth="1"/>
    <col min="169" max="169" width="21.85546875" bestFit="1" customWidth="1"/>
    <col min="170" max="170" width="44.140625" bestFit="1" customWidth="1"/>
    <col min="171" max="171" width="30.85546875" bestFit="1" customWidth="1"/>
    <col min="172" max="172" width="42.5703125" bestFit="1" customWidth="1"/>
    <col min="173" max="173" width="33.7109375" bestFit="1" customWidth="1"/>
    <col min="174" max="174" width="34.140625" bestFit="1" customWidth="1"/>
    <col min="175" max="175" width="24.5703125" bestFit="1" customWidth="1"/>
    <col min="176" max="176" width="21.5703125" bestFit="1" customWidth="1"/>
    <col min="177" max="177" width="62" bestFit="1" customWidth="1"/>
    <col min="178" max="178" width="35.28515625" bestFit="1" customWidth="1"/>
    <col min="179" max="179" width="9.85546875" bestFit="1" customWidth="1"/>
    <col min="180" max="180" width="10" bestFit="1" customWidth="1"/>
    <col min="181" max="181" width="35" bestFit="1" customWidth="1"/>
    <col min="182" max="182" width="30.7109375" bestFit="1" customWidth="1"/>
    <col min="183" max="183" width="16.85546875" bestFit="1" customWidth="1"/>
    <col min="184" max="184" width="3.85546875" bestFit="1" customWidth="1"/>
    <col min="185" max="185" width="19.7109375" bestFit="1" customWidth="1"/>
    <col min="186" max="186" width="19" bestFit="1" customWidth="1"/>
    <col min="187" max="187" width="31.140625" bestFit="1" customWidth="1"/>
    <col min="188" max="188" width="19.5703125" bestFit="1" customWidth="1"/>
    <col min="189" max="189" width="13" bestFit="1" customWidth="1"/>
    <col min="190" max="190" width="31.42578125" bestFit="1" customWidth="1"/>
    <col min="191" max="191" width="16" bestFit="1" customWidth="1"/>
    <col min="192" max="192" width="12.42578125" bestFit="1" customWidth="1"/>
    <col min="193" max="193" width="49.85546875" bestFit="1" customWidth="1"/>
    <col min="194" max="194" width="11.85546875" bestFit="1" customWidth="1"/>
    <col min="195" max="195" width="18.140625" bestFit="1" customWidth="1"/>
    <col min="196" max="198" width="33.7109375" bestFit="1" customWidth="1"/>
    <col min="199" max="199" width="37.140625" bestFit="1" customWidth="1"/>
    <col min="200" max="200" width="16" bestFit="1" customWidth="1"/>
    <col min="201" max="201" width="17.140625" bestFit="1" customWidth="1"/>
    <col min="202" max="202" width="17" bestFit="1" customWidth="1"/>
    <col min="203" max="203" width="27.5703125" bestFit="1" customWidth="1"/>
    <col min="204" max="204" width="35.28515625" bestFit="1" customWidth="1"/>
    <col min="205" max="205" width="24.5703125" bestFit="1" customWidth="1"/>
    <col min="206" max="206" width="14.5703125" bestFit="1" customWidth="1"/>
    <col min="207" max="207" width="19.5703125" bestFit="1" customWidth="1"/>
    <col min="208" max="208" width="30.85546875" bestFit="1" customWidth="1"/>
    <col min="209" max="209" width="24.85546875" bestFit="1" customWidth="1"/>
    <col min="210" max="210" width="7.42578125" bestFit="1" customWidth="1"/>
    <col min="211" max="211" width="9" bestFit="1" customWidth="1"/>
    <col min="212" max="212" width="28.140625" bestFit="1" customWidth="1"/>
    <col min="213" max="213" width="10" bestFit="1" customWidth="1"/>
    <col min="214" max="214" width="18.42578125" bestFit="1" customWidth="1"/>
    <col min="215" max="215" width="15.28515625" bestFit="1" customWidth="1"/>
    <col min="216" max="216" width="26.28515625" bestFit="1" customWidth="1"/>
    <col min="217" max="217" width="24.7109375" bestFit="1" customWidth="1"/>
    <col min="218" max="218" width="49.7109375" bestFit="1" customWidth="1"/>
    <col min="219" max="219" width="4.7109375" bestFit="1" customWidth="1"/>
    <col min="220" max="220" width="19.42578125" bestFit="1" customWidth="1"/>
    <col min="221" max="221" width="15.28515625" bestFit="1" customWidth="1"/>
    <col min="222" max="222" width="16.5703125" bestFit="1" customWidth="1"/>
    <col min="223" max="223" width="18.140625" bestFit="1" customWidth="1"/>
    <col min="224" max="224" width="23.42578125" bestFit="1" customWidth="1"/>
    <col min="225" max="226" width="23.85546875" bestFit="1" customWidth="1"/>
    <col min="227" max="227" width="16.85546875" bestFit="1" customWidth="1"/>
    <col min="228" max="228" width="24.5703125" bestFit="1" customWidth="1"/>
    <col min="229" max="229" width="28.28515625" bestFit="1" customWidth="1"/>
    <col min="230" max="230" width="20" bestFit="1" customWidth="1"/>
    <col min="231" max="231" width="21.85546875" bestFit="1" customWidth="1"/>
    <col min="232" max="232" width="57.42578125" bestFit="1" customWidth="1"/>
    <col min="233" max="233" width="32.5703125" bestFit="1" customWidth="1"/>
    <col min="234" max="234" width="42.7109375" bestFit="1" customWidth="1"/>
    <col min="235" max="235" width="23.42578125" bestFit="1" customWidth="1"/>
    <col min="236" max="236" width="19.7109375" bestFit="1" customWidth="1"/>
    <col min="237" max="237" width="26" bestFit="1" customWidth="1"/>
    <col min="238" max="238" width="28.28515625" bestFit="1" customWidth="1"/>
    <col min="239" max="239" width="21.7109375" bestFit="1" customWidth="1"/>
    <col min="240" max="240" width="42.42578125" bestFit="1" customWidth="1"/>
    <col min="241" max="241" width="43" bestFit="1" customWidth="1"/>
    <col min="242" max="242" width="49.140625" bestFit="1" customWidth="1"/>
    <col min="243" max="243" width="48.7109375" bestFit="1" customWidth="1"/>
    <col min="244" max="244" width="21.28515625" bestFit="1" customWidth="1"/>
    <col min="245" max="245" width="27.28515625" bestFit="1" customWidth="1"/>
    <col min="246" max="246" width="23.85546875" bestFit="1" customWidth="1"/>
    <col min="247" max="247" width="21.85546875" bestFit="1" customWidth="1"/>
    <col min="248" max="248" width="33.140625" bestFit="1" customWidth="1"/>
    <col min="249" max="249" width="21.7109375" bestFit="1" customWidth="1"/>
    <col min="250" max="250" width="43.85546875" bestFit="1" customWidth="1"/>
    <col min="251" max="251" width="16" bestFit="1" customWidth="1"/>
    <col min="252" max="252" width="27.42578125" bestFit="1" customWidth="1"/>
    <col min="253" max="253" width="13" bestFit="1" customWidth="1"/>
    <col min="254" max="254" width="22.140625" bestFit="1" customWidth="1"/>
    <col min="255" max="255" width="23" bestFit="1" customWidth="1"/>
    <col min="256" max="256" width="29.42578125" bestFit="1" customWidth="1"/>
    <col min="257" max="257" width="20.7109375" bestFit="1" customWidth="1"/>
    <col min="258" max="258" width="18" bestFit="1" customWidth="1"/>
    <col min="259" max="259" width="19.140625" bestFit="1" customWidth="1"/>
    <col min="260" max="260" width="27" bestFit="1" customWidth="1"/>
    <col min="261" max="261" width="15.7109375" bestFit="1" customWidth="1"/>
    <col min="262" max="262" width="26.42578125" bestFit="1" customWidth="1"/>
    <col min="263" max="263" width="22.85546875" bestFit="1" customWidth="1"/>
    <col min="264" max="264" width="36.140625" bestFit="1" customWidth="1"/>
    <col min="265" max="265" width="31.42578125" bestFit="1" customWidth="1"/>
    <col min="266" max="266" width="48.28515625" bestFit="1" customWidth="1"/>
    <col min="267" max="267" width="60.7109375" bestFit="1" customWidth="1"/>
    <col min="268" max="268" width="14.140625" bestFit="1" customWidth="1"/>
    <col min="269" max="269" width="32.5703125" bestFit="1" customWidth="1"/>
    <col min="270" max="270" width="4.5703125" bestFit="1" customWidth="1"/>
    <col min="271" max="271" width="16.5703125" bestFit="1" customWidth="1"/>
    <col min="272" max="272" width="16.28515625" bestFit="1" customWidth="1"/>
    <col min="273" max="273" width="7.42578125" bestFit="1" customWidth="1"/>
    <col min="274" max="274" width="30.140625" bestFit="1" customWidth="1"/>
    <col min="275" max="275" width="18.42578125" bestFit="1" customWidth="1"/>
    <col min="276" max="276" width="26.85546875" bestFit="1" customWidth="1"/>
    <col min="277" max="277" width="24.7109375" bestFit="1" customWidth="1"/>
    <col min="278" max="278" width="25.140625" bestFit="1" customWidth="1"/>
    <col min="279" max="279" width="17" bestFit="1" customWidth="1"/>
    <col min="280" max="280" width="21.7109375" bestFit="1" customWidth="1"/>
    <col min="281" max="281" width="23.7109375" bestFit="1" customWidth="1"/>
    <col min="282" max="282" width="26.5703125" bestFit="1" customWidth="1"/>
    <col min="283" max="283" width="4.28515625" bestFit="1" customWidth="1"/>
    <col min="284" max="284" width="25.85546875" bestFit="1" customWidth="1"/>
    <col min="285" max="285" width="21.5703125" bestFit="1" customWidth="1"/>
    <col min="286" max="286" width="18" bestFit="1" customWidth="1"/>
    <col min="287" max="287" width="28.42578125" bestFit="1" customWidth="1"/>
    <col min="288" max="288" width="13" bestFit="1" customWidth="1"/>
    <col min="289" max="289" width="33.5703125" bestFit="1" customWidth="1"/>
    <col min="290" max="290" width="19.5703125" bestFit="1" customWidth="1"/>
    <col min="291" max="291" width="22.42578125" bestFit="1" customWidth="1"/>
    <col min="292" max="292" width="27.28515625" bestFit="1" customWidth="1"/>
    <col min="293" max="293" width="12" bestFit="1" customWidth="1"/>
    <col min="294" max="294" width="14.140625" bestFit="1" customWidth="1"/>
    <col min="295" max="295" width="14.7109375" bestFit="1" customWidth="1"/>
    <col min="296" max="296" width="17.7109375" bestFit="1" customWidth="1"/>
    <col min="297" max="297" width="15.140625" bestFit="1" customWidth="1"/>
    <col min="298" max="298" width="25.28515625" bestFit="1" customWidth="1"/>
    <col min="299" max="299" width="18" bestFit="1" customWidth="1"/>
    <col min="300" max="300" width="40.85546875" bestFit="1" customWidth="1"/>
    <col min="301" max="301" width="38.7109375" bestFit="1" customWidth="1"/>
    <col min="302" max="302" width="19.140625" bestFit="1" customWidth="1"/>
    <col min="303" max="303" width="22.42578125" bestFit="1" customWidth="1"/>
    <col min="304" max="304" width="22.7109375" bestFit="1" customWidth="1"/>
    <col min="305" max="305" width="8.85546875" bestFit="1" customWidth="1"/>
    <col min="306" max="306" width="29.28515625" bestFit="1" customWidth="1"/>
    <col min="307" max="307" width="19.5703125" bestFit="1" customWidth="1"/>
    <col min="308" max="308" width="13.85546875" bestFit="1" customWidth="1"/>
    <col min="309" max="309" width="20.28515625" bestFit="1" customWidth="1"/>
    <col min="310" max="310" width="74.5703125" bestFit="1" customWidth="1"/>
    <col min="311" max="311" width="18.85546875" bestFit="1" customWidth="1"/>
    <col min="312" max="312" width="29" bestFit="1" customWidth="1"/>
    <col min="313" max="313" width="18.5703125" bestFit="1" customWidth="1"/>
    <col min="314" max="314" width="22.85546875" bestFit="1" customWidth="1"/>
    <col min="315" max="315" width="21.7109375" bestFit="1" customWidth="1"/>
    <col min="316" max="316" width="19.42578125" bestFit="1" customWidth="1"/>
    <col min="317" max="317" width="8.7109375" bestFit="1" customWidth="1"/>
    <col min="318" max="318" width="25.28515625" bestFit="1" customWidth="1"/>
    <col min="319" max="319" width="10.140625" bestFit="1" customWidth="1"/>
    <col min="320" max="320" width="32.28515625" bestFit="1" customWidth="1"/>
    <col min="321" max="321" width="32" bestFit="1" customWidth="1"/>
    <col min="322" max="322" width="17.42578125" bestFit="1" customWidth="1"/>
    <col min="323" max="323" width="29.5703125" bestFit="1" customWidth="1"/>
    <col min="324" max="324" width="23.140625" bestFit="1" customWidth="1"/>
    <col min="325" max="325" width="24.28515625" bestFit="1" customWidth="1"/>
    <col min="326" max="326" width="32.42578125" bestFit="1" customWidth="1"/>
    <col min="327" max="327" width="42.7109375" bestFit="1" customWidth="1"/>
    <col min="328" max="328" width="33.28515625" bestFit="1" customWidth="1"/>
    <col min="329" max="329" width="31.28515625" bestFit="1" customWidth="1"/>
    <col min="330" max="330" width="28.85546875" bestFit="1" customWidth="1"/>
    <col min="331" max="331" width="23.7109375" bestFit="1" customWidth="1"/>
    <col min="332" max="332" width="29" bestFit="1" customWidth="1"/>
    <col min="333" max="333" width="18" bestFit="1" customWidth="1"/>
    <col min="334" max="334" width="25.140625" bestFit="1" customWidth="1"/>
    <col min="335" max="335" width="29.140625" bestFit="1" customWidth="1"/>
    <col min="336" max="336" width="33.28515625" bestFit="1" customWidth="1"/>
    <col min="337" max="337" width="28" bestFit="1" customWidth="1"/>
    <col min="338" max="338" width="32.28515625" bestFit="1" customWidth="1"/>
    <col min="339" max="339" width="30.5703125" bestFit="1" customWidth="1"/>
    <col min="340" max="340" width="10.28515625" bestFit="1" customWidth="1"/>
    <col min="341" max="341" width="12.5703125" bestFit="1" customWidth="1"/>
  </cols>
  <sheetData>
    <row r="3" spans="1:5">
      <c r="A3" s="11" t="s">
        <v>4</v>
      </c>
      <c r="B3" s="12" t="s">
        <v>0</v>
      </c>
      <c r="C3" s="11" t="s">
        <v>13</v>
      </c>
      <c r="D3" s="11" t="s">
        <v>3</v>
      </c>
      <c r="E3" s="10" t="s">
        <v>602</v>
      </c>
    </row>
    <row r="4" spans="1:5">
      <c r="A4" t="s">
        <v>603</v>
      </c>
      <c r="B4" t="s">
        <v>87</v>
      </c>
      <c r="C4" t="s">
        <v>40</v>
      </c>
      <c r="D4" t="s">
        <v>20</v>
      </c>
    </row>
    <row r="5" spans="1:5">
      <c r="A5" t="s">
        <v>604</v>
      </c>
      <c r="B5" t="s">
        <v>256</v>
      </c>
      <c r="C5" t="s">
        <v>33</v>
      </c>
      <c r="D5" t="s">
        <v>20</v>
      </c>
    </row>
    <row r="6" spans="1:5">
      <c r="B6" t="s">
        <v>605</v>
      </c>
      <c r="C6" t="s">
        <v>33</v>
      </c>
      <c r="D6" t="s">
        <v>36</v>
      </c>
    </row>
    <row r="7" spans="1:5">
      <c r="B7" t="s">
        <v>606</v>
      </c>
      <c r="C7" t="s">
        <v>33</v>
      </c>
      <c r="D7" t="s">
        <v>36</v>
      </c>
    </row>
    <row r="8" spans="1:5">
      <c r="B8" t="s">
        <v>607</v>
      </c>
      <c r="C8" t="s">
        <v>33</v>
      </c>
      <c r="D8" t="s">
        <v>20</v>
      </c>
    </row>
    <row r="9" spans="1:5">
      <c r="B9" t="s">
        <v>533</v>
      </c>
      <c r="C9" t="s">
        <v>33</v>
      </c>
      <c r="D9" t="s">
        <v>36</v>
      </c>
    </row>
    <row r="10" spans="1:5">
      <c r="B10" t="s">
        <v>94</v>
      </c>
      <c r="C10" t="s">
        <v>33</v>
      </c>
      <c r="D10" t="s">
        <v>20</v>
      </c>
    </row>
    <row r="11" spans="1:5">
      <c r="A11" t="s">
        <v>608</v>
      </c>
      <c r="B11" t="s">
        <v>108</v>
      </c>
      <c r="C11" t="s">
        <v>85</v>
      </c>
      <c r="D11" t="s">
        <v>36</v>
      </c>
    </row>
    <row r="12" spans="1:5">
      <c r="B12" t="s">
        <v>98</v>
      </c>
      <c r="C12" t="s">
        <v>33</v>
      </c>
      <c r="D12" t="s">
        <v>36</v>
      </c>
    </row>
    <row r="13" spans="1:5">
      <c r="B13" t="s">
        <v>109</v>
      </c>
      <c r="C13" t="s">
        <v>64</v>
      </c>
      <c r="D13" t="s">
        <v>36</v>
      </c>
    </row>
    <row r="14" spans="1:5">
      <c r="B14" t="s">
        <v>105</v>
      </c>
      <c r="C14" t="s">
        <v>106</v>
      </c>
      <c r="D14" t="s">
        <v>36</v>
      </c>
    </row>
    <row r="15" spans="1:5">
      <c r="B15" t="s">
        <v>110</v>
      </c>
      <c r="C15" t="s">
        <v>33</v>
      </c>
      <c r="D15" t="s">
        <v>36</v>
      </c>
    </row>
    <row r="16" spans="1:5">
      <c r="B16" t="s">
        <v>177</v>
      </c>
      <c r="C16" t="s">
        <v>40</v>
      </c>
      <c r="D16" t="s">
        <v>178</v>
      </c>
      <c r="E16">
        <v>3</v>
      </c>
    </row>
    <row r="17" spans="1:5">
      <c r="B17" t="s">
        <v>193</v>
      </c>
      <c r="C17" t="s">
        <v>106</v>
      </c>
      <c r="D17" t="s">
        <v>59</v>
      </c>
      <c r="E17">
        <v>3</v>
      </c>
    </row>
    <row r="18" spans="1:5">
      <c r="B18" t="s">
        <v>196</v>
      </c>
      <c r="C18" t="s">
        <v>33</v>
      </c>
      <c r="D18" t="s">
        <v>178</v>
      </c>
      <c r="E18">
        <v>3</v>
      </c>
    </row>
    <row r="19" spans="1:5">
      <c r="B19" t="s">
        <v>205</v>
      </c>
      <c r="C19" t="s">
        <v>106</v>
      </c>
      <c r="D19" t="s">
        <v>178</v>
      </c>
      <c r="E19">
        <v>3</v>
      </c>
    </row>
    <row r="20" spans="1:5">
      <c r="B20" t="s">
        <v>190</v>
      </c>
      <c r="C20" t="s">
        <v>106</v>
      </c>
      <c r="D20" t="s">
        <v>178</v>
      </c>
      <c r="E20">
        <v>3</v>
      </c>
    </row>
    <row r="21" spans="1:5">
      <c r="A21" t="s">
        <v>609</v>
      </c>
      <c r="B21" t="s">
        <v>67</v>
      </c>
      <c r="C21" t="s">
        <v>28</v>
      </c>
    </row>
    <row r="22" spans="1:5">
      <c r="B22" t="s">
        <v>253</v>
      </c>
      <c r="C22" t="s">
        <v>28</v>
      </c>
    </row>
    <row r="23" spans="1:5">
      <c r="B23" t="s">
        <v>69</v>
      </c>
      <c r="C23" t="s">
        <v>40</v>
      </c>
      <c r="D23" t="s">
        <v>20</v>
      </c>
    </row>
    <row r="24" spans="1:5">
      <c r="B24" t="s">
        <v>189</v>
      </c>
      <c r="C24" t="s">
        <v>40</v>
      </c>
      <c r="D24" t="s">
        <v>20</v>
      </c>
    </row>
    <row r="25" spans="1:5">
      <c r="B25" t="s">
        <v>234</v>
      </c>
      <c r="C25" t="s">
        <v>40</v>
      </c>
      <c r="D25" t="s">
        <v>20</v>
      </c>
    </row>
    <row r="26" spans="1:5">
      <c r="B26" t="s">
        <v>243</v>
      </c>
      <c r="C26" t="s">
        <v>28</v>
      </c>
    </row>
    <row r="27" spans="1:5">
      <c r="B27" t="s">
        <v>244</v>
      </c>
      <c r="C27" t="s">
        <v>40</v>
      </c>
      <c r="D27" t="s">
        <v>36</v>
      </c>
    </row>
    <row r="28" spans="1:5">
      <c r="B28" t="s">
        <v>610</v>
      </c>
      <c r="C28" t="s">
        <v>40</v>
      </c>
      <c r="D28" t="s">
        <v>20</v>
      </c>
    </row>
    <row r="29" spans="1:5">
      <c r="B29" t="s">
        <v>611</v>
      </c>
      <c r="C29" t="s">
        <v>40</v>
      </c>
      <c r="D29" t="s">
        <v>20</v>
      </c>
    </row>
    <row r="30" spans="1:5">
      <c r="B30" t="s">
        <v>242</v>
      </c>
      <c r="C30" t="s">
        <v>28</v>
      </c>
    </row>
    <row r="31" spans="1:5">
      <c r="B31" t="s">
        <v>255</v>
      </c>
      <c r="C31" t="s">
        <v>28</v>
      </c>
    </row>
    <row r="32" spans="1:5">
      <c r="B32" t="s">
        <v>245</v>
      </c>
      <c r="C32" t="s">
        <v>64</v>
      </c>
      <c r="D32" t="s">
        <v>36</v>
      </c>
    </row>
    <row r="33" spans="1:4">
      <c r="B33" t="s">
        <v>162</v>
      </c>
      <c r="C33" t="s">
        <v>106</v>
      </c>
      <c r="D33" t="s">
        <v>20</v>
      </c>
    </row>
    <row r="34" spans="1:4">
      <c r="B34" t="s">
        <v>160</v>
      </c>
      <c r="C34" t="s">
        <v>40</v>
      </c>
      <c r="D34" t="s">
        <v>20</v>
      </c>
    </row>
    <row r="35" spans="1:4">
      <c r="B35" t="s">
        <v>163</v>
      </c>
      <c r="C35" t="s">
        <v>40</v>
      </c>
      <c r="D35" t="s">
        <v>20</v>
      </c>
    </row>
    <row r="36" spans="1:4">
      <c r="B36" t="s">
        <v>161</v>
      </c>
      <c r="C36" t="s">
        <v>40</v>
      </c>
      <c r="D36" t="s">
        <v>20</v>
      </c>
    </row>
    <row r="37" spans="1:4">
      <c r="B37" t="s">
        <v>66</v>
      </c>
      <c r="C37" t="s">
        <v>28</v>
      </c>
    </row>
    <row r="38" spans="1:4">
      <c r="A38" t="s">
        <v>612</v>
      </c>
      <c r="B38" t="s">
        <v>274</v>
      </c>
      <c r="C38" t="s">
        <v>33</v>
      </c>
      <c r="D38" t="s">
        <v>36</v>
      </c>
    </row>
    <row r="39" spans="1:4">
      <c r="B39" t="s">
        <v>93</v>
      </c>
      <c r="C39" t="s">
        <v>40</v>
      </c>
      <c r="D39" t="s">
        <v>20</v>
      </c>
    </row>
    <row r="40" spans="1:4">
      <c r="B40" t="s">
        <v>223</v>
      </c>
      <c r="C40" t="s">
        <v>40</v>
      </c>
      <c r="D40" t="s">
        <v>36</v>
      </c>
    </row>
    <row r="41" spans="1:4">
      <c r="B41" t="s">
        <v>231</v>
      </c>
      <c r="C41" t="s">
        <v>64</v>
      </c>
      <c r="D41" t="s">
        <v>36</v>
      </c>
    </row>
    <row r="42" spans="1:4">
      <c r="B42" t="s">
        <v>224</v>
      </c>
      <c r="C42" t="s">
        <v>28</v>
      </c>
    </row>
    <row r="43" spans="1:4">
      <c r="B43" t="s">
        <v>267</v>
      </c>
      <c r="C43" t="s">
        <v>28</v>
      </c>
    </row>
    <row r="44" spans="1:4">
      <c r="B44" t="s">
        <v>265</v>
      </c>
      <c r="C44" t="s">
        <v>28</v>
      </c>
    </row>
    <row r="45" spans="1:4">
      <c r="B45" t="s">
        <v>187</v>
      </c>
      <c r="C45" t="s">
        <v>40</v>
      </c>
      <c r="D45" t="s">
        <v>188</v>
      </c>
    </row>
    <row r="46" spans="1:4">
      <c r="B46" t="s">
        <v>241</v>
      </c>
      <c r="C46" t="s">
        <v>28</v>
      </c>
    </row>
    <row r="47" spans="1:4">
      <c r="B47" t="s">
        <v>159</v>
      </c>
      <c r="C47" t="s">
        <v>40</v>
      </c>
      <c r="D47" t="s">
        <v>20</v>
      </c>
    </row>
    <row r="48" spans="1:4">
      <c r="B48" t="s">
        <v>228</v>
      </c>
      <c r="C48" t="s">
        <v>33</v>
      </c>
      <c r="D48" t="s">
        <v>36</v>
      </c>
    </row>
    <row r="49" spans="2:4">
      <c r="B49" t="s">
        <v>82</v>
      </c>
      <c r="C49" t="s">
        <v>28</v>
      </c>
    </row>
    <row r="50" spans="2:4">
      <c r="B50" t="s">
        <v>233</v>
      </c>
      <c r="C50" t="s">
        <v>33</v>
      </c>
      <c r="D50" t="s">
        <v>36</v>
      </c>
    </row>
    <row r="51" spans="2:4">
      <c r="B51" t="s">
        <v>225</v>
      </c>
      <c r="C51" t="s">
        <v>33</v>
      </c>
      <c r="D51" t="s">
        <v>36</v>
      </c>
    </row>
    <row r="52" spans="2:4">
      <c r="B52" t="s">
        <v>538</v>
      </c>
      <c r="C52" t="s">
        <v>28</v>
      </c>
    </row>
    <row r="53" spans="2:4">
      <c r="B53" t="s">
        <v>230</v>
      </c>
      <c r="C53" t="s">
        <v>28</v>
      </c>
    </row>
    <row r="54" spans="2:4">
      <c r="B54" t="s">
        <v>226</v>
      </c>
      <c r="C54" t="s">
        <v>64</v>
      </c>
      <c r="D54" t="s">
        <v>36</v>
      </c>
    </row>
    <row r="55" spans="2:4">
      <c r="B55" t="s">
        <v>272</v>
      </c>
      <c r="C55" t="s">
        <v>28</v>
      </c>
    </row>
    <row r="56" spans="2:4">
      <c r="B56" t="s">
        <v>238</v>
      </c>
      <c r="C56" t="s">
        <v>28</v>
      </c>
    </row>
    <row r="57" spans="2:4">
      <c r="B57" t="s">
        <v>77</v>
      </c>
      <c r="C57" t="s">
        <v>28</v>
      </c>
    </row>
    <row r="58" spans="2:4">
      <c r="B58" t="s">
        <v>276</v>
      </c>
      <c r="C58" t="s">
        <v>85</v>
      </c>
      <c r="D58" t="s">
        <v>36</v>
      </c>
    </row>
    <row r="59" spans="2:4">
      <c r="B59" t="s">
        <v>246</v>
      </c>
      <c r="C59" t="s">
        <v>28</v>
      </c>
    </row>
    <row r="60" spans="2:4">
      <c r="B60" t="s">
        <v>240</v>
      </c>
      <c r="C60" t="s">
        <v>64</v>
      </c>
      <c r="D60" t="s">
        <v>36</v>
      </c>
    </row>
    <row r="61" spans="2:4">
      <c r="B61" t="s">
        <v>248</v>
      </c>
      <c r="C61" t="s">
        <v>33</v>
      </c>
      <c r="D61" t="s">
        <v>36</v>
      </c>
    </row>
    <row r="62" spans="2:4">
      <c r="B62" t="s">
        <v>535</v>
      </c>
      <c r="C62" t="s">
        <v>28</v>
      </c>
    </row>
    <row r="63" spans="2:4">
      <c r="B63" t="s">
        <v>236</v>
      </c>
      <c r="C63" t="s">
        <v>33</v>
      </c>
      <c r="D63" t="s">
        <v>36</v>
      </c>
    </row>
    <row r="64" spans="2:4">
      <c r="B64" t="s">
        <v>250</v>
      </c>
      <c r="C64" t="s">
        <v>33</v>
      </c>
      <c r="D64" t="s">
        <v>36</v>
      </c>
    </row>
    <row r="65" spans="2:4">
      <c r="B65" t="s">
        <v>268</v>
      </c>
      <c r="C65" t="s">
        <v>28</v>
      </c>
    </row>
    <row r="66" spans="2:4">
      <c r="B66" t="s">
        <v>251</v>
      </c>
      <c r="C66" t="s">
        <v>33</v>
      </c>
      <c r="D66" t="s">
        <v>36</v>
      </c>
    </row>
    <row r="67" spans="2:4">
      <c r="B67" t="s">
        <v>247</v>
      </c>
      <c r="C67" t="s">
        <v>40</v>
      </c>
      <c r="D67" t="s">
        <v>36</v>
      </c>
    </row>
    <row r="68" spans="2:4">
      <c r="B68" t="s">
        <v>270</v>
      </c>
      <c r="C68" t="s">
        <v>64</v>
      </c>
      <c r="D68" t="s">
        <v>36</v>
      </c>
    </row>
    <row r="69" spans="2:4">
      <c r="B69" t="s">
        <v>271</v>
      </c>
      <c r="C69" t="s">
        <v>40</v>
      </c>
      <c r="D69" t="s">
        <v>36</v>
      </c>
    </row>
    <row r="70" spans="2:4">
      <c r="B70" t="s">
        <v>232</v>
      </c>
      <c r="C70" t="s">
        <v>33</v>
      </c>
      <c r="D70" t="s">
        <v>36</v>
      </c>
    </row>
    <row r="71" spans="2:4">
      <c r="B71" t="s">
        <v>249</v>
      </c>
      <c r="C71" t="s">
        <v>40</v>
      </c>
      <c r="D71" t="s">
        <v>36</v>
      </c>
    </row>
    <row r="72" spans="2:4">
      <c r="B72" t="s">
        <v>273</v>
      </c>
      <c r="C72" t="s">
        <v>40</v>
      </c>
      <c r="D72" t="s">
        <v>36</v>
      </c>
    </row>
    <row r="73" spans="2:4">
      <c r="B73" t="s">
        <v>229</v>
      </c>
      <c r="C73" t="s">
        <v>33</v>
      </c>
      <c r="D73" t="s">
        <v>36</v>
      </c>
    </row>
    <row r="74" spans="2:4">
      <c r="B74" t="s">
        <v>269</v>
      </c>
      <c r="C74" t="s">
        <v>33</v>
      </c>
      <c r="D74" t="s">
        <v>36</v>
      </c>
    </row>
    <row r="75" spans="2:4">
      <c r="B75" t="s">
        <v>613</v>
      </c>
      <c r="C75" t="s">
        <v>40</v>
      </c>
      <c r="D75" t="s">
        <v>20</v>
      </c>
    </row>
    <row r="76" spans="2:4">
      <c r="B76" t="s">
        <v>63</v>
      </c>
      <c r="C76" t="s">
        <v>64</v>
      </c>
      <c r="D76" t="s">
        <v>20</v>
      </c>
    </row>
    <row r="77" spans="2:4">
      <c r="B77" t="s">
        <v>536</v>
      </c>
      <c r="C77" t="s">
        <v>28</v>
      </c>
    </row>
    <row r="78" spans="2:4">
      <c r="B78" t="s">
        <v>237</v>
      </c>
      <c r="C78" t="s">
        <v>40</v>
      </c>
      <c r="D78" t="s">
        <v>36</v>
      </c>
    </row>
    <row r="79" spans="2:4">
      <c r="B79" t="s">
        <v>239</v>
      </c>
      <c r="C79" t="s">
        <v>40</v>
      </c>
      <c r="D79" t="s">
        <v>36</v>
      </c>
    </row>
    <row r="80" spans="2:4">
      <c r="B80" t="s">
        <v>185</v>
      </c>
      <c r="C80" t="s">
        <v>40</v>
      </c>
      <c r="D80" t="s">
        <v>186</v>
      </c>
    </row>
    <row r="81" spans="1:4">
      <c r="B81" t="s">
        <v>227</v>
      </c>
      <c r="C81" t="s">
        <v>28</v>
      </c>
    </row>
    <row r="82" spans="1:4">
      <c r="B82" t="s">
        <v>81</v>
      </c>
      <c r="C82" t="s">
        <v>28</v>
      </c>
    </row>
    <row r="83" spans="1:4">
      <c r="A83" t="s">
        <v>614</v>
      </c>
      <c r="B83" t="s">
        <v>311</v>
      </c>
      <c r="C83" t="s">
        <v>106</v>
      </c>
      <c r="D83" t="s">
        <v>20</v>
      </c>
    </row>
    <row r="84" spans="1:4">
      <c r="B84" t="s">
        <v>310</v>
      </c>
      <c r="C84" t="s">
        <v>106</v>
      </c>
      <c r="D84" t="s">
        <v>20</v>
      </c>
    </row>
    <row r="85" spans="1:4">
      <c r="B85" t="s">
        <v>324</v>
      </c>
      <c r="C85" t="s">
        <v>106</v>
      </c>
      <c r="D85" t="s">
        <v>20</v>
      </c>
    </row>
    <row r="86" spans="1:4">
      <c r="B86" t="s">
        <v>280</v>
      </c>
      <c r="C86" t="s">
        <v>64</v>
      </c>
      <c r="D86" t="s">
        <v>20</v>
      </c>
    </row>
    <row r="87" spans="1:4">
      <c r="B87" t="s">
        <v>409</v>
      </c>
      <c r="C87" t="s">
        <v>106</v>
      </c>
      <c r="D87" t="s">
        <v>20</v>
      </c>
    </row>
    <row r="88" spans="1:4">
      <c r="B88" t="s">
        <v>377</v>
      </c>
      <c r="C88" t="s">
        <v>106</v>
      </c>
      <c r="D88" t="s">
        <v>20</v>
      </c>
    </row>
    <row r="89" spans="1:4">
      <c r="B89" t="s">
        <v>380</v>
      </c>
      <c r="C89" t="s">
        <v>106</v>
      </c>
      <c r="D89" t="s">
        <v>20</v>
      </c>
    </row>
    <row r="90" spans="1:4">
      <c r="B90" t="s">
        <v>379</v>
      </c>
      <c r="C90" t="s">
        <v>106</v>
      </c>
      <c r="D90" t="s">
        <v>20</v>
      </c>
    </row>
    <row r="91" spans="1:4">
      <c r="B91" t="s">
        <v>401</v>
      </c>
      <c r="C91" t="s">
        <v>106</v>
      </c>
      <c r="D91" t="s">
        <v>20</v>
      </c>
    </row>
    <row r="92" spans="1:4">
      <c r="B92" t="s">
        <v>400</v>
      </c>
      <c r="C92" t="s">
        <v>106</v>
      </c>
      <c r="D92" t="s">
        <v>20</v>
      </c>
    </row>
    <row r="93" spans="1:4">
      <c r="B93" t="s">
        <v>407</v>
      </c>
      <c r="C93" t="s">
        <v>106</v>
      </c>
      <c r="D93" t="s">
        <v>20</v>
      </c>
    </row>
    <row r="94" spans="1:4">
      <c r="B94" t="s">
        <v>435</v>
      </c>
      <c r="C94" t="s">
        <v>106</v>
      </c>
      <c r="D94" t="s">
        <v>20</v>
      </c>
    </row>
    <row r="95" spans="1:4">
      <c r="B95" t="s">
        <v>434</v>
      </c>
      <c r="C95" t="s">
        <v>106</v>
      </c>
      <c r="D95" t="s">
        <v>20</v>
      </c>
    </row>
    <row r="96" spans="1:4">
      <c r="B96" t="s">
        <v>282</v>
      </c>
      <c r="C96" t="s">
        <v>64</v>
      </c>
      <c r="D96" t="s">
        <v>20</v>
      </c>
    </row>
    <row r="97" spans="2:4">
      <c r="B97" t="s">
        <v>534</v>
      </c>
      <c r="C97" t="s">
        <v>106</v>
      </c>
      <c r="D97" t="s">
        <v>36</v>
      </c>
    </row>
    <row r="98" spans="2:4">
      <c r="B98" t="s">
        <v>531</v>
      </c>
      <c r="C98" t="s">
        <v>33</v>
      </c>
      <c r="D98" t="s">
        <v>36</v>
      </c>
    </row>
    <row r="99" spans="2:4">
      <c r="B99" t="s">
        <v>532</v>
      </c>
      <c r="C99" t="s">
        <v>33</v>
      </c>
      <c r="D99" t="s">
        <v>36</v>
      </c>
    </row>
    <row r="100" spans="2:4">
      <c r="B100" t="s">
        <v>537</v>
      </c>
      <c r="C100" t="s">
        <v>106</v>
      </c>
      <c r="D100" t="s">
        <v>36</v>
      </c>
    </row>
    <row r="101" spans="2:4">
      <c r="B101" t="s">
        <v>418</v>
      </c>
      <c r="C101" t="s">
        <v>106</v>
      </c>
      <c r="D101" t="s">
        <v>20</v>
      </c>
    </row>
    <row r="102" spans="2:4">
      <c r="B102" t="s">
        <v>412</v>
      </c>
      <c r="C102" t="s">
        <v>106</v>
      </c>
      <c r="D102" t="s">
        <v>20</v>
      </c>
    </row>
    <row r="103" spans="2:4">
      <c r="B103" t="s">
        <v>375</v>
      </c>
      <c r="C103" t="s">
        <v>106</v>
      </c>
      <c r="D103" t="s">
        <v>20</v>
      </c>
    </row>
    <row r="104" spans="2:4">
      <c r="B104" t="s">
        <v>430</v>
      </c>
      <c r="C104" t="s">
        <v>106</v>
      </c>
      <c r="D104" t="s">
        <v>20</v>
      </c>
    </row>
    <row r="105" spans="2:4">
      <c r="B105" t="s">
        <v>411</v>
      </c>
      <c r="C105" t="s">
        <v>106</v>
      </c>
      <c r="D105" t="s">
        <v>20</v>
      </c>
    </row>
    <row r="106" spans="2:4">
      <c r="B106" t="s">
        <v>371</v>
      </c>
      <c r="C106" t="s">
        <v>106</v>
      </c>
      <c r="D106" t="s">
        <v>20</v>
      </c>
    </row>
    <row r="107" spans="2:4">
      <c r="B107" t="s">
        <v>419</v>
      </c>
      <c r="C107" t="s">
        <v>106</v>
      </c>
      <c r="D107" t="s">
        <v>20</v>
      </c>
    </row>
    <row r="108" spans="2:4">
      <c r="B108" t="s">
        <v>420</v>
      </c>
      <c r="C108" t="s">
        <v>106</v>
      </c>
      <c r="D108" t="s">
        <v>20</v>
      </c>
    </row>
    <row r="109" spans="2:4">
      <c r="B109" t="s">
        <v>323</v>
      </c>
      <c r="C109" t="s">
        <v>106</v>
      </c>
      <c r="D109" t="s">
        <v>20</v>
      </c>
    </row>
    <row r="110" spans="2:4">
      <c r="B110" t="s">
        <v>321</v>
      </c>
      <c r="C110" t="s">
        <v>106</v>
      </c>
      <c r="D110" t="s">
        <v>20</v>
      </c>
    </row>
    <row r="111" spans="2:4">
      <c r="B111" t="s">
        <v>322</v>
      </c>
      <c r="C111" t="s">
        <v>106</v>
      </c>
      <c r="D111" t="s">
        <v>20</v>
      </c>
    </row>
    <row r="112" spans="2:4">
      <c r="B112" t="s">
        <v>309</v>
      </c>
      <c r="C112" t="s">
        <v>106</v>
      </c>
      <c r="D112" t="s">
        <v>20</v>
      </c>
    </row>
    <row r="113" spans="2:4">
      <c r="B113" t="s">
        <v>308</v>
      </c>
      <c r="C113" t="s">
        <v>106</v>
      </c>
      <c r="D113" t="s">
        <v>20</v>
      </c>
    </row>
    <row r="114" spans="2:4">
      <c r="B114" t="s">
        <v>404</v>
      </c>
      <c r="C114" t="s">
        <v>106</v>
      </c>
      <c r="D114" t="s">
        <v>20</v>
      </c>
    </row>
    <row r="115" spans="2:4">
      <c r="B115" t="s">
        <v>405</v>
      </c>
      <c r="C115" t="s">
        <v>106</v>
      </c>
      <c r="D115" t="s">
        <v>20</v>
      </c>
    </row>
    <row r="116" spans="2:4">
      <c r="B116" t="s">
        <v>373</v>
      </c>
      <c r="C116" t="s">
        <v>106</v>
      </c>
      <c r="D116" t="s">
        <v>20</v>
      </c>
    </row>
    <row r="117" spans="2:4">
      <c r="B117" t="s">
        <v>372</v>
      </c>
      <c r="C117" t="s">
        <v>106</v>
      </c>
      <c r="D117" t="s">
        <v>20</v>
      </c>
    </row>
    <row r="118" spans="2:4">
      <c r="B118" t="s">
        <v>391</v>
      </c>
      <c r="C118" t="s">
        <v>106</v>
      </c>
      <c r="D118" t="s">
        <v>20</v>
      </c>
    </row>
    <row r="119" spans="2:4">
      <c r="B119" t="s">
        <v>389</v>
      </c>
      <c r="C119" t="s">
        <v>106</v>
      </c>
      <c r="D119" t="s">
        <v>20</v>
      </c>
    </row>
    <row r="120" spans="2:4">
      <c r="B120" t="s">
        <v>392</v>
      </c>
      <c r="C120" t="s">
        <v>106</v>
      </c>
      <c r="D120" t="s">
        <v>20</v>
      </c>
    </row>
    <row r="121" spans="2:4">
      <c r="B121" t="s">
        <v>402</v>
      </c>
      <c r="C121" t="s">
        <v>106</v>
      </c>
      <c r="D121" t="s">
        <v>20</v>
      </c>
    </row>
    <row r="122" spans="2:4">
      <c r="B122" t="s">
        <v>427</v>
      </c>
      <c r="C122" t="s">
        <v>106</v>
      </c>
      <c r="D122" t="s">
        <v>20</v>
      </c>
    </row>
    <row r="123" spans="2:4">
      <c r="B123" t="s">
        <v>408</v>
      </c>
      <c r="C123" t="s">
        <v>106</v>
      </c>
      <c r="D123" t="s">
        <v>20</v>
      </c>
    </row>
    <row r="124" spans="2:4">
      <c r="B124" t="s">
        <v>432</v>
      </c>
      <c r="C124" t="s">
        <v>106</v>
      </c>
      <c r="D124" t="s">
        <v>20</v>
      </c>
    </row>
    <row r="125" spans="2:4">
      <c r="B125" t="s">
        <v>365</v>
      </c>
      <c r="C125" t="s">
        <v>106</v>
      </c>
      <c r="D125" t="s">
        <v>20</v>
      </c>
    </row>
    <row r="126" spans="2:4">
      <c r="B126" t="s">
        <v>350</v>
      </c>
      <c r="C126" t="s">
        <v>106</v>
      </c>
      <c r="D126" t="s">
        <v>20</v>
      </c>
    </row>
    <row r="127" spans="2:4">
      <c r="B127" t="s">
        <v>363</v>
      </c>
      <c r="C127" t="s">
        <v>106</v>
      </c>
      <c r="D127" t="s">
        <v>20</v>
      </c>
    </row>
    <row r="128" spans="2:4">
      <c r="B128" t="s">
        <v>364</v>
      </c>
      <c r="C128" t="s">
        <v>106</v>
      </c>
      <c r="D128" t="s">
        <v>20</v>
      </c>
    </row>
    <row r="129" spans="2:4">
      <c r="B129" t="s">
        <v>349</v>
      </c>
      <c r="C129" t="s">
        <v>106</v>
      </c>
      <c r="D129" t="s">
        <v>20</v>
      </c>
    </row>
    <row r="130" spans="2:4">
      <c r="B130" t="s">
        <v>355</v>
      </c>
      <c r="C130" t="s">
        <v>106</v>
      </c>
      <c r="D130" t="s">
        <v>20</v>
      </c>
    </row>
    <row r="131" spans="2:4">
      <c r="B131" t="s">
        <v>358</v>
      </c>
      <c r="C131" t="s">
        <v>106</v>
      </c>
      <c r="D131" t="s">
        <v>20</v>
      </c>
    </row>
    <row r="132" spans="2:4">
      <c r="B132" t="s">
        <v>360</v>
      </c>
      <c r="C132" t="s">
        <v>106</v>
      </c>
      <c r="D132" t="s">
        <v>20</v>
      </c>
    </row>
    <row r="133" spans="2:4">
      <c r="B133" t="s">
        <v>361</v>
      </c>
      <c r="C133" t="s">
        <v>106</v>
      </c>
      <c r="D133" t="s">
        <v>20</v>
      </c>
    </row>
    <row r="134" spans="2:4">
      <c r="B134" t="s">
        <v>362</v>
      </c>
      <c r="C134" t="s">
        <v>106</v>
      </c>
      <c r="D134" t="s">
        <v>20</v>
      </c>
    </row>
    <row r="135" spans="2:4">
      <c r="B135" t="s">
        <v>356</v>
      </c>
      <c r="C135" t="s">
        <v>106</v>
      </c>
      <c r="D135" t="s">
        <v>20</v>
      </c>
    </row>
    <row r="136" spans="2:4">
      <c r="B136" t="s">
        <v>352</v>
      </c>
      <c r="C136" t="s">
        <v>106</v>
      </c>
      <c r="D136" t="s">
        <v>20</v>
      </c>
    </row>
    <row r="137" spans="2:4">
      <c r="B137" t="s">
        <v>359</v>
      </c>
      <c r="C137" t="s">
        <v>106</v>
      </c>
      <c r="D137" t="s">
        <v>20</v>
      </c>
    </row>
    <row r="138" spans="2:4">
      <c r="B138" t="s">
        <v>357</v>
      </c>
      <c r="C138" t="s">
        <v>106</v>
      </c>
      <c r="D138" t="s">
        <v>20</v>
      </c>
    </row>
    <row r="139" spans="2:4">
      <c r="B139" t="s">
        <v>351</v>
      </c>
      <c r="C139" t="s">
        <v>106</v>
      </c>
      <c r="D139" t="s">
        <v>20</v>
      </c>
    </row>
    <row r="140" spans="2:4">
      <c r="B140" t="s">
        <v>354</v>
      </c>
      <c r="C140" t="s">
        <v>106</v>
      </c>
      <c r="D140" t="s">
        <v>20</v>
      </c>
    </row>
    <row r="141" spans="2:4">
      <c r="B141" t="s">
        <v>353</v>
      </c>
      <c r="C141" t="s">
        <v>106</v>
      </c>
      <c r="D141" t="s">
        <v>20</v>
      </c>
    </row>
    <row r="142" spans="2:4">
      <c r="B142" t="s">
        <v>281</v>
      </c>
      <c r="C142" t="s">
        <v>64</v>
      </c>
      <c r="D142" t="s">
        <v>20</v>
      </c>
    </row>
    <row r="143" spans="2:4">
      <c r="B143" t="s">
        <v>326</v>
      </c>
      <c r="C143" t="s">
        <v>106</v>
      </c>
      <c r="D143" t="s">
        <v>36</v>
      </c>
    </row>
    <row r="144" spans="2:4">
      <c r="B144" t="s">
        <v>279</v>
      </c>
      <c r="C144" t="s">
        <v>64</v>
      </c>
      <c r="D144" t="s">
        <v>20</v>
      </c>
    </row>
    <row r="145" spans="2:4">
      <c r="B145" t="s">
        <v>438</v>
      </c>
      <c r="C145" t="s">
        <v>64</v>
      </c>
      <c r="D145" t="s">
        <v>20</v>
      </c>
    </row>
    <row r="146" spans="2:4">
      <c r="B146" t="s">
        <v>403</v>
      </c>
      <c r="C146" t="s">
        <v>106</v>
      </c>
      <c r="D146" t="s">
        <v>20</v>
      </c>
    </row>
    <row r="147" spans="2:4">
      <c r="B147" t="s">
        <v>300</v>
      </c>
      <c r="C147" t="s">
        <v>106</v>
      </c>
      <c r="D147" t="s">
        <v>20</v>
      </c>
    </row>
    <row r="148" spans="2:4">
      <c r="B148" t="s">
        <v>297</v>
      </c>
      <c r="C148" t="s">
        <v>106</v>
      </c>
      <c r="D148" t="s">
        <v>20</v>
      </c>
    </row>
    <row r="149" spans="2:4">
      <c r="B149" t="s">
        <v>298</v>
      </c>
      <c r="C149" t="s">
        <v>106</v>
      </c>
      <c r="D149" t="s">
        <v>20</v>
      </c>
    </row>
    <row r="150" spans="2:4">
      <c r="B150" t="s">
        <v>299</v>
      </c>
      <c r="C150" t="s">
        <v>106</v>
      </c>
      <c r="D150" t="s">
        <v>20</v>
      </c>
    </row>
    <row r="151" spans="2:4">
      <c r="B151" t="s">
        <v>444</v>
      </c>
      <c r="C151" t="s">
        <v>106</v>
      </c>
      <c r="D151" t="s">
        <v>59</v>
      </c>
    </row>
    <row r="152" spans="2:4">
      <c r="B152" t="s">
        <v>316</v>
      </c>
      <c r="C152" t="s">
        <v>106</v>
      </c>
      <c r="D152" t="s">
        <v>20</v>
      </c>
    </row>
    <row r="153" spans="2:4">
      <c r="B153" t="s">
        <v>314</v>
      </c>
      <c r="C153" t="s">
        <v>106</v>
      </c>
      <c r="D153" t="s">
        <v>20</v>
      </c>
    </row>
    <row r="154" spans="2:4">
      <c r="B154" t="s">
        <v>315</v>
      </c>
      <c r="C154" t="s">
        <v>106</v>
      </c>
      <c r="D154" t="s">
        <v>20</v>
      </c>
    </row>
    <row r="155" spans="2:4">
      <c r="B155" t="s">
        <v>295</v>
      </c>
      <c r="C155" t="s">
        <v>106</v>
      </c>
      <c r="D155" t="s">
        <v>20</v>
      </c>
    </row>
    <row r="156" spans="2:4">
      <c r="B156" t="s">
        <v>296</v>
      </c>
      <c r="C156" t="s">
        <v>106</v>
      </c>
      <c r="D156" t="s">
        <v>20</v>
      </c>
    </row>
    <row r="157" spans="2:4">
      <c r="B157" t="s">
        <v>294</v>
      </c>
      <c r="C157" t="s">
        <v>106</v>
      </c>
      <c r="D157" t="s">
        <v>20</v>
      </c>
    </row>
    <row r="158" spans="2:4">
      <c r="B158" t="s">
        <v>607</v>
      </c>
      <c r="C158" t="s">
        <v>33</v>
      </c>
      <c r="D158" t="s">
        <v>36</v>
      </c>
    </row>
    <row r="159" spans="2:4">
      <c r="B159" t="s">
        <v>320</v>
      </c>
      <c r="C159" t="s">
        <v>106</v>
      </c>
      <c r="D159" t="s">
        <v>20</v>
      </c>
    </row>
    <row r="160" spans="2:4">
      <c r="B160" t="s">
        <v>542</v>
      </c>
      <c r="C160" t="s">
        <v>106</v>
      </c>
      <c r="D160" t="s">
        <v>20</v>
      </c>
    </row>
    <row r="161" spans="2:4">
      <c r="B161" t="s">
        <v>413</v>
      </c>
      <c r="C161" t="s">
        <v>106</v>
      </c>
      <c r="D161" t="s">
        <v>20</v>
      </c>
    </row>
    <row r="162" spans="2:4">
      <c r="B162" t="s">
        <v>539</v>
      </c>
      <c r="C162" t="s">
        <v>106</v>
      </c>
      <c r="D162" t="s">
        <v>20</v>
      </c>
    </row>
    <row r="163" spans="2:4">
      <c r="B163" t="s">
        <v>431</v>
      </c>
      <c r="C163" t="s">
        <v>106</v>
      </c>
      <c r="D163" t="s">
        <v>20</v>
      </c>
    </row>
    <row r="164" spans="2:4">
      <c r="B164" t="s">
        <v>390</v>
      </c>
      <c r="C164" t="s">
        <v>106</v>
      </c>
      <c r="D164" t="s">
        <v>20</v>
      </c>
    </row>
    <row r="165" spans="2:4">
      <c r="B165" t="s">
        <v>545</v>
      </c>
      <c r="C165" t="s">
        <v>106</v>
      </c>
      <c r="D165" t="s">
        <v>20</v>
      </c>
    </row>
    <row r="166" spans="2:4">
      <c r="B166" t="s">
        <v>376</v>
      </c>
      <c r="C166" t="s">
        <v>106</v>
      </c>
      <c r="D166" t="s">
        <v>20</v>
      </c>
    </row>
    <row r="167" spans="2:4">
      <c r="B167" t="s">
        <v>374</v>
      </c>
      <c r="C167" t="s">
        <v>106</v>
      </c>
      <c r="D167" t="s">
        <v>20</v>
      </c>
    </row>
    <row r="168" spans="2:4">
      <c r="B168" t="s">
        <v>422</v>
      </c>
      <c r="C168" t="s">
        <v>106</v>
      </c>
      <c r="D168" t="s">
        <v>20</v>
      </c>
    </row>
    <row r="169" spans="2:4">
      <c r="B169" t="s">
        <v>423</v>
      </c>
      <c r="C169" t="s">
        <v>106</v>
      </c>
      <c r="D169" t="s">
        <v>20</v>
      </c>
    </row>
    <row r="170" spans="2:4">
      <c r="B170" t="s">
        <v>424</v>
      </c>
      <c r="C170" t="s">
        <v>106</v>
      </c>
      <c r="D170" t="s">
        <v>20</v>
      </c>
    </row>
    <row r="171" spans="2:4">
      <c r="B171" t="s">
        <v>436</v>
      </c>
      <c r="C171" t="s">
        <v>106</v>
      </c>
      <c r="D171" t="s">
        <v>20</v>
      </c>
    </row>
    <row r="172" spans="2:4">
      <c r="B172" t="s">
        <v>384</v>
      </c>
      <c r="C172" t="s">
        <v>106</v>
      </c>
      <c r="D172" t="s">
        <v>20</v>
      </c>
    </row>
    <row r="173" spans="2:4">
      <c r="B173" t="s">
        <v>385</v>
      </c>
      <c r="C173" t="s">
        <v>106</v>
      </c>
      <c r="D173" t="s">
        <v>20</v>
      </c>
    </row>
    <row r="174" spans="2:4">
      <c r="B174" t="s">
        <v>386</v>
      </c>
      <c r="C174" t="s">
        <v>106</v>
      </c>
      <c r="D174" t="s">
        <v>20</v>
      </c>
    </row>
    <row r="175" spans="2:4">
      <c r="B175" t="s">
        <v>381</v>
      </c>
      <c r="C175" t="s">
        <v>106</v>
      </c>
      <c r="D175" t="s">
        <v>20</v>
      </c>
    </row>
    <row r="176" spans="2:4">
      <c r="B176" t="s">
        <v>387</v>
      </c>
      <c r="C176" t="s">
        <v>106</v>
      </c>
      <c r="D176" t="s">
        <v>20</v>
      </c>
    </row>
    <row r="177" spans="2:4">
      <c r="B177" t="s">
        <v>388</v>
      </c>
      <c r="C177" t="s">
        <v>106</v>
      </c>
      <c r="D177" t="s">
        <v>20</v>
      </c>
    </row>
    <row r="178" spans="2:4">
      <c r="B178" t="s">
        <v>383</v>
      </c>
      <c r="C178" t="s">
        <v>106</v>
      </c>
      <c r="D178" t="s">
        <v>20</v>
      </c>
    </row>
    <row r="179" spans="2:4">
      <c r="B179" t="s">
        <v>317</v>
      </c>
      <c r="C179" t="s">
        <v>106</v>
      </c>
      <c r="D179" t="s">
        <v>20</v>
      </c>
    </row>
    <row r="180" spans="2:4">
      <c r="B180" t="s">
        <v>426</v>
      </c>
      <c r="C180" t="s">
        <v>106</v>
      </c>
      <c r="D180" t="s">
        <v>20</v>
      </c>
    </row>
    <row r="181" spans="2:4">
      <c r="B181" t="s">
        <v>278</v>
      </c>
      <c r="C181" t="s">
        <v>64</v>
      </c>
      <c r="D181" t="s">
        <v>20</v>
      </c>
    </row>
    <row r="182" spans="2:4">
      <c r="B182" t="s">
        <v>277</v>
      </c>
      <c r="C182" t="s">
        <v>64</v>
      </c>
      <c r="D182" t="s">
        <v>20</v>
      </c>
    </row>
    <row r="183" spans="2:4">
      <c r="B183" t="s">
        <v>305</v>
      </c>
      <c r="C183" t="s">
        <v>106</v>
      </c>
      <c r="D183" t="s">
        <v>20</v>
      </c>
    </row>
    <row r="184" spans="2:4">
      <c r="B184" t="s">
        <v>304</v>
      </c>
      <c r="C184" t="s">
        <v>106</v>
      </c>
      <c r="D184" t="s">
        <v>20</v>
      </c>
    </row>
    <row r="185" spans="2:4">
      <c r="B185" t="s">
        <v>319</v>
      </c>
      <c r="C185" t="s">
        <v>106</v>
      </c>
      <c r="D185" t="s">
        <v>20</v>
      </c>
    </row>
    <row r="186" spans="2:4">
      <c r="B186" t="s">
        <v>318</v>
      </c>
      <c r="C186" t="s">
        <v>106</v>
      </c>
      <c r="D186" t="s">
        <v>20</v>
      </c>
    </row>
    <row r="187" spans="2:4">
      <c r="B187" t="s">
        <v>303</v>
      </c>
      <c r="C187" t="s">
        <v>106</v>
      </c>
      <c r="D187" t="s">
        <v>20</v>
      </c>
    </row>
    <row r="188" spans="2:4">
      <c r="B188" t="s">
        <v>301</v>
      </c>
      <c r="C188" t="s">
        <v>106</v>
      </c>
      <c r="D188" t="s">
        <v>20</v>
      </c>
    </row>
    <row r="189" spans="2:4">
      <c r="B189" t="s">
        <v>302</v>
      </c>
      <c r="C189" t="s">
        <v>106</v>
      </c>
      <c r="D189" t="s">
        <v>20</v>
      </c>
    </row>
    <row r="190" spans="2:4">
      <c r="B190" t="s">
        <v>399</v>
      </c>
      <c r="C190" t="s">
        <v>106</v>
      </c>
      <c r="D190" t="s">
        <v>20</v>
      </c>
    </row>
    <row r="191" spans="2:4">
      <c r="B191" t="s">
        <v>398</v>
      </c>
      <c r="C191" t="s">
        <v>106</v>
      </c>
      <c r="D191" t="s">
        <v>20</v>
      </c>
    </row>
    <row r="192" spans="2:4">
      <c r="B192" t="s">
        <v>396</v>
      </c>
      <c r="C192" t="s">
        <v>106</v>
      </c>
      <c r="D192" t="s">
        <v>20</v>
      </c>
    </row>
    <row r="193" spans="2:4">
      <c r="B193" t="s">
        <v>397</v>
      </c>
      <c r="C193" t="s">
        <v>106</v>
      </c>
      <c r="D193" t="s">
        <v>20</v>
      </c>
    </row>
    <row r="194" spans="2:4">
      <c r="B194" t="s">
        <v>367</v>
      </c>
      <c r="C194" t="s">
        <v>106</v>
      </c>
      <c r="D194" t="s">
        <v>20</v>
      </c>
    </row>
    <row r="195" spans="2:4">
      <c r="B195" t="s">
        <v>368</v>
      </c>
      <c r="C195" t="s">
        <v>106</v>
      </c>
      <c r="D195" t="s">
        <v>20</v>
      </c>
    </row>
    <row r="196" spans="2:4">
      <c r="B196" t="s">
        <v>366</v>
      </c>
      <c r="C196" t="s">
        <v>106</v>
      </c>
      <c r="D196" t="s">
        <v>20</v>
      </c>
    </row>
    <row r="197" spans="2:4">
      <c r="B197" t="s">
        <v>288</v>
      </c>
      <c r="C197" t="s">
        <v>106</v>
      </c>
      <c r="D197" t="s">
        <v>20</v>
      </c>
    </row>
    <row r="198" spans="2:4">
      <c r="B198" t="s">
        <v>290</v>
      </c>
      <c r="C198" t="s">
        <v>106</v>
      </c>
      <c r="D198" t="s">
        <v>20</v>
      </c>
    </row>
    <row r="199" spans="2:4">
      <c r="B199" t="s">
        <v>291</v>
      </c>
      <c r="C199" t="s">
        <v>106</v>
      </c>
      <c r="D199" t="s">
        <v>20</v>
      </c>
    </row>
    <row r="200" spans="2:4">
      <c r="B200" t="s">
        <v>293</v>
      </c>
      <c r="C200" t="s">
        <v>106</v>
      </c>
      <c r="D200" t="s">
        <v>20</v>
      </c>
    </row>
    <row r="201" spans="2:4">
      <c r="B201" t="s">
        <v>292</v>
      </c>
      <c r="C201" t="s">
        <v>106</v>
      </c>
      <c r="D201" t="s">
        <v>20</v>
      </c>
    </row>
    <row r="202" spans="2:4">
      <c r="B202" t="s">
        <v>287</v>
      </c>
      <c r="C202" t="s">
        <v>106</v>
      </c>
      <c r="D202" t="s">
        <v>20</v>
      </c>
    </row>
    <row r="203" spans="2:4">
      <c r="B203" t="s">
        <v>289</v>
      </c>
      <c r="C203" t="s">
        <v>106</v>
      </c>
      <c r="D203" t="s">
        <v>20</v>
      </c>
    </row>
    <row r="204" spans="2:4">
      <c r="B204" t="s">
        <v>286</v>
      </c>
      <c r="C204" t="s">
        <v>106</v>
      </c>
      <c r="D204" t="s">
        <v>20</v>
      </c>
    </row>
    <row r="205" spans="2:4">
      <c r="B205" t="s">
        <v>415</v>
      </c>
      <c r="C205" t="s">
        <v>106</v>
      </c>
      <c r="D205" t="s">
        <v>20</v>
      </c>
    </row>
    <row r="206" spans="2:4">
      <c r="B206" t="s">
        <v>417</v>
      </c>
      <c r="C206" t="s">
        <v>106</v>
      </c>
      <c r="D206" t="s">
        <v>20</v>
      </c>
    </row>
    <row r="207" spans="2:4">
      <c r="B207" t="s">
        <v>393</v>
      </c>
      <c r="C207" t="s">
        <v>106</v>
      </c>
      <c r="D207" t="s">
        <v>20</v>
      </c>
    </row>
    <row r="208" spans="2:4">
      <c r="B208" t="s">
        <v>394</v>
      </c>
      <c r="C208" t="s">
        <v>106</v>
      </c>
      <c r="D208" t="s">
        <v>20</v>
      </c>
    </row>
    <row r="209" spans="2:4">
      <c r="B209" t="s">
        <v>428</v>
      </c>
      <c r="C209" t="s">
        <v>106</v>
      </c>
      <c r="D209" t="s">
        <v>20</v>
      </c>
    </row>
    <row r="210" spans="2:4">
      <c r="B210" t="s">
        <v>325</v>
      </c>
      <c r="C210" t="s">
        <v>106</v>
      </c>
      <c r="D210" t="s">
        <v>20</v>
      </c>
    </row>
    <row r="211" spans="2:4">
      <c r="B211" t="s">
        <v>395</v>
      </c>
      <c r="C211" t="s">
        <v>106</v>
      </c>
      <c r="D211" t="s">
        <v>20</v>
      </c>
    </row>
    <row r="212" spans="2:4">
      <c r="B212" t="s">
        <v>410</v>
      </c>
      <c r="C212" t="s">
        <v>106</v>
      </c>
      <c r="D212" t="s">
        <v>20</v>
      </c>
    </row>
    <row r="213" spans="2:4">
      <c r="B213" t="s">
        <v>425</v>
      </c>
      <c r="C213" t="s">
        <v>106</v>
      </c>
      <c r="D213" t="s">
        <v>20</v>
      </c>
    </row>
    <row r="214" spans="2:4">
      <c r="B214" t="s">
        <v>421</v>
      </c>
      <c r="C214" t="s">
        <v>106</v>
      </c>
      <c r="D214" t="s">
        <v>20</v>
      </c>
    </row>
    <row r="215" spans="2:4">
      <c r="B215" t="s">
        <v>382</v>
      </c>
      <c r="C215" t="s">
        <v>106</v>
      </c>
      <c r="D215" t="s">
        <v>20</v>
      </c>
    </row>
    <row r="216" spans="2:4">
      <c r="B216" t="s">
        <v>283</v>
      </c>
      <c r="C216" t="s">
        <v>64</v>
      </c>
      <c r="D216" t="s">
        <v>20</v>
      </c>
    </row>
    <row r="217" spans="2:4">
      <c r="B217" t="s">
        <v>378</v>
      </c>
      <c r="C217" t="s">
        <v>106</v>
      </c>
      <c r="D217" t="s">
        <v>20</v>
      </c>
    </row>
    <row r="218" spans="2:4">
      <c r="B218" t="s">
        <v>313</v>
      </c>
      <c r="C218" t="s">
        <v>106</v>
      </c>
      <c r="D218" t="s">
        <v>20</v>
      </c>
    </row>
    <row r="219" spans="2:4">
      <c r="B219" t="s">
        <v>312</v>
      </c>
      <c r="C219" t="s">
        <v>106</v>
      </c>
      <c r="D219" t="s">
        <v>20</v>
      </c>
    </row>
    <row r="220" spans="2:4">
      <c r="B220" t="s">
        <v>437</v>
      </c>
      <c r="C220" t="s">
        <v>106</v>
      </c>
      <c r="D220" t="s">
        <v>20</v>
      </c>
    </row>
    <row r="221" spans="2:4">
      <c r="B221" t="s">
        <v>429</v>
      </c>
      <c r="C221" t="s">
        <v>106</v>
      </c>
      <c r="D221" t="s">
        <v>20</v>
      </c>
    </row>
    <row r="222" spans="2:4">
      <c r="B222" t="s">
        <v>416</v>
      </c>
      <c r="C222" t="s">
        <v>106</v>
      </c>
      <c r="D222" t="s">
        <v>20</v>
      </c>
    </row>
    <row r="223" spans="2:4">
      <c r="B223" t="s">
        <v>433</v>
      </c>
      <c r="C223" t="s">
        <v>106</v>
      </c>
      <c r="D223" t="s">
        <v>20</v>
      </c>
    </row>
    <row r="224" spans="2:4">
      <c r="B224" t="s">
        <v>414</v>
      </c>
      <c r="C224" t="s">
        <v>106</v>
      </c>
      <c r="D224" t="s">
        <v>20</v>
      </c>
    </row>
    <row r="225" spans="2:4">
      <c r="B225" t="s">
        <v>307</v>
      </c>
      <c r="C225" t="s">
        <v>106</v>
      </c>
      <c r="D225" t="s">
        <v>20</v>
      </c>
    </row>
    <row r="226" spans="2:4">
      <c r="B226" t="s">
        <v>306</v>
      </c>
      <c r="C226" t="s">
        <v>106</v>
      </c>
      <c r="D226" t="s">
        <v>20</v>
      </c>
    </row>
    <row r="227" spans="2:4">
      <c r="B227" t="s">
        <v>406</v>
      </c>
      <c r="C227" t="s">
        <v>106</v>
      </c>
      <c r="D227" t="s">
        <v>20</v>
      </c>
    </row>
    <row r="228" spans="2:4">
      <c r="B228" t="s">
        <v>344</v>
      </c>
      <c r="C228" t="s">
        <v>106</v>
      </c>
      <c r="D228" t="s">
        <v>20</v>
      </c>
    </row>
    <row r="229" spans="2:4">
      <c r="B229" t="s">
        <v>329</v>
      </c>
      <c r="C229" t="s">
        <v>106</v>
      </c>
      <c r="D229" t="s">
        <v>20</v>
      </c>
    </row>
    <row r="230" spans="2:4">
      <c r="B230" t="s">
        <v>330</v>
      </c>
      <c r="C230" t="s">
        <v>106</v>
      </c>
      <c r="D230" t="s">
        <v>20</v>
      </c>
    </row>
    <row r="231" spans="2:4">
      <c r="B231" t="s">
        <v>331</v>
      </c>
      <c r="C231" t="s">
        <v>106</v>
      </c>
      <c r="D231" t="s">
        <v>20</v>
      </c>
    </row>
    <row r="232" spans="2:4">
      <c r="B232" t="s">
        <v>347</v>
      </c>
      <c r="C232" t="s">
        <v>106</v>
      </c>
      <c r="D232" t="s">
        <v>20</v>
      </c>
    </row>
    <row r="233" spans="2:4">
      <c r="B233" t="s">
        <v>348</v>
      </c>
      <c r="C233" t="s">
        <v>106</v>
      </c>
      <c r="D233" t="s">
        <v>20</v>
      </c>
    </row>
    <row r="234" spans="2:4">
      <c r="B234" t="s">
        <v>340</v>
      </c>
      <c r="C234" t="s">
        <v>106</v>
      </c>
      <c r="D234" t="s">
        <v>20</v>
      </c>
    </row>
    <row r="235" spans="2:4">
      <c r="B235" t="s">
        <v>338</v>
      </c>
      <c r="C235" t="s">
        <v>106</v>
      </c>
      <c r="D235" t="s">
        <v>20</v>
      </c>
    </row>
    <row r="236" spans="2:4">
      <c r="B236" t="s">
        <v>335</v>
      </c>
      <c r="C236" t="s">
        <v>106</v>
      </c>
      <c r="D236" t="s">
        <v>20</v>
      </c>
    </row>
    <row r="237" spans="2:4">
      <c r="B237" t="s">
        <v>343</v>
      </c>
      <c r="C237" t="s">
        <v>106</v>
      </c>
      <c r="D237" t="s">
        <v>20</v>
      </c>
    </row>
    <row r="238" spans="2:4">
      <c r="B238" t="s">
        <v>339</v>
      </c>
      <c r="C238" t="s">
        <v>106</v>
      </c>
      <c r="D238" t="s">
        <v>20</v>
      </c>
    </row>
    <row r="239" spans="2:4">
      <c r="B239" t="s">
        <v>345</v>
      </c>
      <c r="C239" t="s">
        <v>106</v>
      </c>
      <c r="D239" t="s">
        <v>20</v>
      </c>
    </row>
    <row r="240" spans="2:4">
      <c r="B240" t="s">
        <v>346</v>
      </c>
      <c r="C240" t="s">
        <v>106</v>
      </c>
      <c r="D240" t="s">
        <v>20</v>
      </c>
    </row>
    <row r="241" spans="1:5">
      <c r="B241" t="s">
        <v>341</v>
      </c>
      <c r="C241" t="s">
        <v>106</v>
      </c>
      <c r="D241" t="s">
        <v>20</v>
      </c>
    </row>
    <row r="242" spans="1:5">
      <c r="B242" t="s">
        <v>334</v>
      </c>
      <c r="C242" t="s">
        <v>106</v>
      </c>
      <c r="D242" t="s">
        <v>20</v>
      </c>
    </row>
    <row r="243" spans="1:5">
      <c r="B243" t="s">
        <v>333</v>
      </c>
      <c r="C243" t="s">
        <v>106</v>
      </c>
      <c r="D243" t="s">
        <v>20</v>
      </c>
    </row>
    <row r="244" spans="1:5">
      <c r="B244" t="s">
        <v>327</v>
      </c>
      <c r="C244" t="s">
        <v>106</v>
      </c>
      <c r="D244" t="s">
        <v>20</v>
      </c>
    </row>
    <row r="245" spans="1:5">
      <c r="B245" t="s">
        <v>336</v>
      </c>
      <c r="C245" t="s">
        <v>106</v>
      </c>
      <c r="D245" t="s">
        <v>20</v>
      </c>
    </row>
    <row r="246" spans="1:5">
      <c r="B246" t="s">
        <v>332</v>
      </c>
      <c r="C246" t="s">
        <v>106</v>
      </c>
      <c r="D246" t="s">
        <v>20</v>
      </c>
    </row>
    <row r="247" spans="1:5">
      <c r="B247" t="s">
        <v>337</v>
      </c>
      <c r="C247" t="s">
        <v>106</v>
      </c>
      <c r="D247" t="s">
        <v>20</v>
      </c>
    </row>
    <row r="248" spans="1:5">
      <c r="B248" t="s">
        <v>342</v>
      </c>
      <c r="C248" t="s">
        <v>106</v>
      </c>
      <c r="D248" t="s">
        <v>20</v>
      </c>
    </row>
    <row r="249" spans="1:5">
      <c r="B249" t="s">
        <v>328</v>
      </c>
      <c r="C249" t="s">
        <v>106</v>
      </c>
      <c r="D249" t="s">
        <v>20</v>
      </c>
    </row>
    <row r="250" spans="1:5">
      <c r="A250" t="s">
        <v>615</v>
      </c>
      <c r="B250" t="s">
        <v>83</v>
      </c>
      <c r="C250" t="s">
        <v>85</v>
      </c>
      <c r="D250" t="s">
        <v>20</v>
      </c>
    </row>
    <row r="251" spans="1:5">
      <c r="B251" t="s">
        <v>558</v>
      </c>
      <c r="C251" t="s">
        <v>40</v>
      </c>
      <c r="D251" t="s">
        <v>20</v>
      </c>
    </row>
    <row r="252" spans="1:5">
      <c r="A252" t="s">
        <v>44</v>
      </c>
      <c r="B252" t="s">
        <v>139</v>
      </c>
      <c r="C252" t="s">
        <v>33</v>
      </c>
      <c r="D252" t="s">
        <v>59</v>
      </c>
      <c r="E252">
        <v>3</v>
      </c>
    </row>
    <row r="253" spans="1:5">
      <c r="B253" t="s">
        <v>616</v>
      </c>
      <c r="C253" t="s">
        <v>33</v>
      </c>
      <c r="D253" t="s">
        <v>59</v>
      </c>
      <c r="E253">
        <v>3</v>
      </c>
    </row>
    <row r="254" spans="1:5">
      <c r="B254" t="s">
        <v>145</v>
      </c>
      <c r="C254" t="s">
        <v>33</v>
      </c>
      <c r="D254" t="s">
        <v>59</v>
      </c>
      <c r="E254">
        <v>3</v>
      </c>
    </row>
    <row r="255" spans="1:5">
      <c r="B255" t="s">
        <v>147</v>
      </c>
      <c r="C255" t="s">
        <v>33</v>
      </c>
      <c r="D255" t="s">
        <v>59</v>
      </c>
      <c r="E255">
        <v>3</v>
      </c>
    </row>
    <row r="256" spans="1:5">
      <c r="B256" t="s">
        <v>143</v>
      </c>
      <c r="C256" t="s">
        <v>33</v>
      </c>
      <c r="D256" t="s">
        <v>59</v>
      </c>
      <c r="E256">
        <v>3</v>
      </c>
    </row>
    <row r="257" spans="1:5">
      <c r="A257" t="s">
        <v>21</v>
      </c>
      <c r="B257" t="s">
        <v>17</v>
      </c>
      <c r="C257" t="s">
        <v>28</v>
      </c>
      <c r="E257">
        <v>3</v>
      </c>
    </row>
    <row r="258" spans="1:5">
      <c r="A258" t="s">
        <v>617</v>
      </c>
      <c r="B258" t="s">
        <v>258</v>
      </c>
      <c r="C258" t="s">
        <v>28</v>
      </c>
    </row>
    <row r="259" spans="1:5">
      <c r="B259" t="s">
        <v>155</v>
      </c>
      <c r="C259" t="s">
        <v>40</v>
      </c>
      <c r="D259" t="s">
        <v>59</v>
      </c>
      <c r="E259">
        <v>3</v>
      </c>
    </row>
    <row r="260" spans="1:5">
      <c r="B260" t="s">
        <v>618</v>
      </c>
      <c r="C260" t="s">
        <v>40</v>
      </c>
      <c r="D260" t="s">
        <v>59</v>
      </c>
      <c r="E260">
        <v>3</v>
      </c>
    </row>
    <row r="261" spans="1:5">
      <c r="B261" t="s">
        <v>173</v>
      </c>
      <c r="C261" t="s">
        <v>28</v>
      </c>
      <c r="E261">
        <v>3</v>
      </c>
    </row>
    <row r="262" spans="1:5">
      <c r="B262" t="s">
        <v>169</v>
      </c>
      <c r="C262" t="s">
        <v>64</v>
      </c>
      <c r="D262" t="s">
        <v>59</v>
      </c>
      <c r="E262">
        <v>3</v>
      </c>
    </row>
    <row r="263" spans="1:5">
      <c r="B263" t="s">
        <v>167</v>
      </c>
      <c r="C263" t="s">
        <v>28</v>
      </c>
      <c r="E263">
        <v>3</v>
      </c>
    </row>
    <row r="264" spans="1:5">
      <c r="A264" t="s">
        <v>619</v>
      </c>
      <c r="B264" t="s">
        <v>213</v>
      </c>
      <c r="C264" t="s">
        <v>64</v>
      </c>
      <c r="D264" t="s">
        <v>59</v>
      </c>
    </row>
    <row r="265" spans="1:5">
      <c r="A265" t="s">
        <v>620</v>
      </c>
      <c r="B265" t="s">
        <v>91</v>
      </c>
      <c r="C265" t="s">
        <v>40</v>
      </c>
      <c r="D265" t="s">
        <v>20</v>
      </c>
      <c r="E265">
        <v>3</v>
      </c>
    </row>
    <row r="266" spans="1:5">
      <c r="A266" t="s">
        <v>621</v>
      </c>
      <c r="B266" t="s">
        <v>30</v>
      </c>
      <c r="C266" t="s">
        <v>33</v>
      </c>
      <c r="D266" t="s">
        <v>20</v>
      </c>
    </row>
    <row r="267" spans="1:5">
      <c r="B267" t="s">
        <v>202</v>
      </c>
      <c r="C267" t="s">
        <v>40</v>
      </c>
      <c r="D267" t="s">
        <v>59</v>
      </c>
    </row>
    <row r="268" spans="1:5">
      <c r="A268" t="s">
        <v>622</v>
      </c>
      <c r="B268" t="s">
        <v>441</v>
      </c>
      <c r="C268" t="s">
        <v>106</v>
      </c>
      <c r="D268" t="s">
        <v>36</v>
      </c>
    </row>
    <row r="269" spans="1:5">
      <c r="B269" t="s">
        <v>623</v>
      </c>
      <c r="C269" t="s">
        <v>106</v>
      </c>
      <c r="D269" t="s">
        <v>20</v>
      </c>
    </row>
    <row r="270" spans="1:5">
      <c r="B270" t="s">
        <v>445</v>
      </c>
      <c r="C270" t="s">
        <v>28</v>
      </c>
    </row>
    <row r="271" spans="1:5">
      <c r="B271" t="s">
        <v>439</v>
      </c>
      <c r="C271" t="s">
        <v>40</v>
      </c>
      <c r="D271" t="s">
        <v>36</v>
      </c>
    </row>
    <row r="272" spans="1:5">
      <c r="B272" t="s">
        <v>474</v>
      </c>
      <c r="C272" t="s">
        <v>106</v>
      </c>
      <c r="D272" t="s">
        <v>20</v>
      </c>
    </row>
    <row r="273" spans="1:4">
      <c r="B273" t="s">
        <v>447</v>
      </c>
      <c r="C273" t="s">
        <v>106</v>
      </c>
      <c r="D273" t="s">
        <v>20</v>
      </c>
    </row>
    <row r="274" spans="1:4">
      <c r="B274" t="s">
        <v>450</v>
      </c>
      <c r="C274" t="s">
        <v>28</v>
      </c>
    </row>
    <row r="275" spans="1:4">
      <c r="B275" t="s">
        <v>453</v>
      </c>
      <c r="C275" t="s">
        <v>28</v>
      </c>
    </row>
    <row r="276" spans="1:4">
      <c r="B276" t="s">
        <v>456</v>
      </c>
      <c r="C276" t="s">
        <v>28</v>
      </c>
    </row>
    <row r="277" spans="1:4">
      <c r="B277" t="s">
        <v>459</v>
      </c>
      <c r="C277" t="s">
        <v>28</v>
      </c>
    </row>
    <row r="278" spans="1:4">
      <c r="B278" t="s">
        <v>462</v>
      </c>
      <c r="C278" t="s">
        <v>28</v>
      </c>
    </row>
    <row r="279" spans="1:4">
      <c r="B279" t="s">
        <v>465</v>
      </c>
      <c r="C279" t="s">
        <v>40</v>
      </c>
      <c r="D279" t="s">
        <v>20</v>
      </c>
    </row>
    <row r="280" spans="1:4">
      <c r="B280" t="s">
        <v>489</v>
      </c>
      <c r="C280" t="s">
        <v>28</v>
      </c>
    </row>
    <row r="281" spans="1:4">
      <c r="B281" t="s">
        <v>468</v>
      </c>
      <c r="C281" t="s">
        <v>28</v>
      </c>
    </row>
    <row r="282" spans="1:4">
      <c r="B282" t="s">
        <v>471</v>
      </c>
      <c r="C282" t="s">
        <v>106</v>
      </c>
      <c r="D282" t="s">
        <v>20</v>
      </c>
    </row>
    <row r="283" spans="1:4">
      <c r="B283" t="s">
        <v>483</v>
      </c>
      <c r="C283" t="s">
        <v>106</v>
      </c>
      <c r="D283" t="s">
        <v>20</v>
      </c>
    </row>
    <row r="284" spans="1:4">
      <c r="B284" t="s">
        <v>477</v>
      </c>
      <c r="C284" t="s">
        <v>106</v>
      </c>
      <c r="D284" t="s">
        <v>20</v>
      </c>
    </row>
    <row r="285" spans="1:4">
      <c r="B285" t="s">
        <v>479</v>
      </c>
      <c r="C285" t="s">
        <v>106</v>
      </c>
      <c r="D285" t="s">
        <v>20</v>
      </c>
    </row>
    <row r="286" spans="1:4">
      <c r="B286" t="s">
        <v>481</v>
      </c>
      <c r="C286" t="s">
        <v>106</v>
      </c>
      <c r="D286" t="s">
        <v>20</v>
      </c>
    </row>
    <row r="287" spans="1:4">
      <c r="B287" t="s">
        <v>485</v>
      </c>
      <c r="C287" t="s">
        <v>106</v>
      </c>
      <c r="D287" t="s">
        <v>20</v>
      </c>
    </row>
    <row r="288" spans="1:4">
      <c r="A288" t="s">
        <v>59</v>
      </c>
      <c r="B288" t="s">
        <v>213</v>
      </c>
      <c r="C288" t="s">
        <v>28</v>
      </c>
    </row>
    <row r="289" spans="1:5">
      <c r="B289" t="s">
        <v>369</v>
      </c>
      <c r="C289" t="s">
        <v>106</v>
      </c>
      <c r="D289" t="s">
        <v>59</v>
      </c>
    </row>
    <row r="290" spans="1:5">
      <c r="B290" t="s">
        <v>182</v>
      </c>
      <c r="C290" t="s">
        <v>28</v>
      </c>
      <c r="E290">
        <v>3</v>
      </c>
    </row>
    <row r="291" spans="1:5">
      <c r="B291" t="s">
        <v>261</v>
      </c>
      <c r="C291" t="s">
        <v>33</v>
      </c>
      <c r="D291" t="s">
        <v>59</v>
      </c>
      <c r="E291">
        <v>3</v>
      </c>
    </row>
    <row r="292" spans="1:5">
      <c r="B292" t="s">
        <v>150</v>
      </c>
      <c r="C292" t="s">
        <v>33</v>
      </c>
      <c r="D292" t="s">
        <v>59</v>
      </c>
      <c r="E292">
        <v>3</v>
      </c>
    </row>
    <row r="293" spans="1:5">
      <c r="B293" t="s">
        <v>79</v>
      </c>
      <c r="C293" t="s">
        <v>40</v>
      </c>
      <c r="D293" t="s">
        <v>59</v>
      </c>
      <c r="E293">
        <v>3</v>
      </c>
    </row>
    <row r="294" spans="1:5">
      <c r="A294" t="s">
        <v>624</v>
      </c>
      <c r="B294" t="s">
        <v>507</v>
      </c>
      <c r="C294" t="s">
        <v>106</v>
      </c>
      <c r="D294" t="s">
        <v>20</v>
      </c>
    </row>
    <row r="295" spans="1:5">
      <c r="A295" t="s">
        <v>625</v>
      </c>
      <c r="B295" t="s">
        <v>520</v>
      </c>
      <c r="C295" t="s">
        <v>106</v>
      </c>
      <c r="D295" t="s">
        <v>36</v>
      </c>
    </row>
    <row r="296" spans="1:5">
      <c r="B296" t="s">
        <v>525</v>
      </c>
      <c r="C296" t="s">
        <v>106</v>
      </c>
      <c r="D296" t="s">
        <v>36</v>
      </c>
    </row>
    <row r="297" spans="1:5">
      <c r="B297" t="s">
        <v>507</v>
      </c>
      <c r="C297" t="s">
        <v>106</v>
      </c>
      <c r="D297" t="s">
        <v>36</v>
      </c>
    </row>
    <row r="298" spans="1:5">
      <c r="B298" t="s">
        <v>521</v>
      </c>
      <c r="C298" t="s">
        <v>106</v>
      </c>
      <c r="D298" t="s">
        <v>36</v>
      </c>
    </row>
    <row r="299" spans="1:5">
      <c r="B299" t="s">
        <v>516</v>
      </c>
      <c r="C299" t="s">
        <v>28</v>
      </c>
    </row>
    <row r="300" spans="1:5">
      <c r="B300" t="s">
        <v>523</v>
      </c>
      <c r="C300" t="s">
        <v>106</v>
      </c>
      <c r="D300" t="s">
        <v>36</v>
      </c>
    </row>
    <row r="301" spans="1:5">
      <c r="B301" t="s">
        <v>522</v>
      </c>
      <c r="C301" t="s">
        <v>106</v>
      </c>
      <c r="D301" t="s">
        <v>36</v>
      </c>
    </row>
    <row r="302" spans="1:5">
      <c r="B302" t="s">
        <v>524</v>
      </c>
      <c r="C302" t="s">
        <v>106</v>
      </c>
      <c r="D302" t="s">
        <v>36</v>
      </c>
    </row>
    <row r="303" spans="1:5">
      <c r="B303" t="s">
        <v>517</v>
      </c>
      <c r="C303" t="s">
        <v>28</v>
      </c>
    </row>
    <row r="304" spans="1:5">
      <c r="B304" t="s">
        <v>519</v>
      </c>
      <c r="C304" t="s">
        <v>28</v>
      </c>
    </row>
    <row r="305" spans="1:5">
      <c r="B305" t="s">
        <v>526</v>
      </c>
      <c r="C305" t="s">
        <v>106</v>
      </c>
      <c r="D305" t="s">
        <v>36</v>
      </c>
    </row>
    <row r="306" spans="1:5">
      <c r="B306" t="s">
        <v>527</v>
      </c>
      <c r="C306" t="s">
        <v>106</v>
      </c>
      <c r="D306" t="s">
        <v>36</v>
      </c>
    </row>
    <row r="307" spans="1:5">
      <c r="B307" t="s">
        <v>528</v>
      </c>
      <c r="C307" t="s">
        <v>106</v>
      </c>
      <c r="D307" t="s">
        <v>36</v>
      </c>
    </row>
    <row r="308" spans="1:5">
      <c r="B308" t="s">
        <v>529</v>
      </c>
      <c r="C308" t="s">
        <v>106</v>
      </c>
      <c r="D308" t="s">
        <v>36</v>
      </c>
    </row>
    <row r="309" spans="1:5">
      <c r="B309" t="s">
        <v>530</v>
      </c>
      <c r="C309" t="s">
        <v>64</v>
      </c>
      <c r="D309" t="s">
        <v>36</v>
      </c>
    </row>
    <row r="310" spans="1:5">
      <c r="A310" t="s">
        <v>626</v>
      </c>
      <c r="B310" t="s">
        <v>511</v>
      </c>
      <c r="C310" t="s">
        <v>106</v>
      </c>
      <c r="D310" t="s">
        <v>36</v>
      </c>
    </row>
    <row r="311" spans="1:5">
      <c r="B311" t="s">
        <v>514</v>
      </c>
      <c r="C311" t="s">
        <v>40</v>
      </c>
      <c r="D311" t="s">
        <v>36</v>
      </c>
    </row>
    <row r="312" spans="1:5">
      <c r="B312" t="s">
        <v>512</v>
      </c>
      <c r="C312" t="s">
        <v>28</v>
      </c>
    </row>
    <row r="313" spans="1:5">
      <c r="B313" t="s">
        <v>509</v>
      </c>
      <c r="C313" t="s">
        <v>28</v>
      </c>
    </row>
    <row r="314" spans="1:5">
      <c r="B314" t="s">
        <v>510</v>
      </c>
      <c r="C314" t="s">
        <v>28</v>
      </c>
    </row>
    <row r="315" spans="1:5">
      <c r="B315" t="s">
        <v>508</v>
      </c>
      <c r="C315" t="s">
        <v>28</v>
      </c>
    </row>
    <row r="316" spans="1:5">
      <c r="B316" t="s">
        <v>505</v>
      </c>
      <c r="C316" t="s">
        <v>106</v>
      </c>
      <c r="D316" t="s">
        <v>36</v>
      </c>
    </row>
    <row r="317" spans="1:5">
      <c r="B317" t="s">
        <v>513</v>
      </c>
      <c r="C317" t="s">
        <v>106</v>
      </c>
      <c r="D317" t="s">
        <v>36</v>
      </c>
    </row>
    <row r="318" spans="1:5">
      <c r="B318" t="s">
        <v>515</v>
      </c>
      <c r="C318" t="s">
        <v>28</v>
      </c>
    </row>
    <row r="319" spans="1:5">
      <c r="A319" t="s">
        <v>627</v>
      </c>
      <c r="B319" t="s">
        <v>208</v>
      </c>
      <c r="C319" t="s">
        <v>64</v>
      </c>
      <c r="D319" t="s">
        <v>59</v>
      </c>
      <c r="E319">
        <v>3</v>
      </c>
    </row>
    <row r="320" spans="1:5">
      <c r="B320" t="s">
        <v>34</v>
      </c>
      <c r="C320" t="s">
        <v>40</v>
      </c>
      <c r="D320" t="s">
        <v>36</v>
      </c>
    </row>
    <row r="321" spans="1:5">
      <c r="B321" t="s">
        <v>210</v>
      </c>
      <c r="C321" t="s">
        <v>106</v>
      </c>
      <c r="D321" t="s">
        <v>59</v>
      </c>
      <c r="E321">
        <v>3</v>
      </c>
    </row>
    <row r="322" spans="1:5">
      <c r="B322" t="s">
        <v>58</v>
      </c>
      <c r="C322" t="s">
        <v>40</v>
      </c>
      <c r="D322" t="s">
        <v>59</v>
      </c>
      <c r="E322">
        <v>3</v>
      </c>
    </row>
    <row r="323" spans="1:5">
      <c r="B323" t="s">
        <v>164</v>
      </c>
      <c r="C323" t="s">
        <v>40</v>
      </c>
      <c r="D323" t="s">
        <v>59</v>
      </c>
      <c r="E323">
        <v>3</v>
      </c>
    </row>
    <row r="324" spans="1:5">
      <c r="B324" t="s">
        <v>171</v>
      </c>
      <c r="C324" t="s">
        <v>28</v>
      </c>
      <c r="E324">
        <v>3</v>
      </c>
    </row>
    <row r="325" spans="1:5">
      <c r="A325" t="s">
        <v>628</v>
      </c>
      <c r="B325" t="s">
        <v>499</v>
      </c>
      <c r="C325" t="s">
        <v>106</v>
      </c>
      <c r="D325" t="s">
        <v>20</v>
      </c>
    </row>
    <row r="326" spans="1:5">
      <c r="B326" t="s">
        <v>503</v>
      </c>
      <c r="C326" t="s">
        <v>106</v>
      </c>
      <c r="D326" t="s">
        <v>20</v>
      </c>
    </row>
    <row r="327" spans="1:5">
      <c r="B327" t="s">
        <v>502</v>
      </c>
      <c r="C327" t="s">
        <v>106</v>
      </c>
      <c r="D327" t="s">
        <v>20</v>
      </c>
    </row>
    <row r="328" spans="1:5">
      <c r="B328" t="s">
        <v>492</v>
      </c>
      <c r="C328" t="s">
        <v>106</v>
      </c>
      <c r="D328" t="s">
        <v>20</v>
      </c>
    </row>
    <row r="329" spans="1:5">
      <c r="B329" t="s">
        <v>493</v>
      </c>
      <c r="C329" t="s">
        <v>106</v>
      </c>
      <c r="D329" t="s">
        <v>20</v>
      </c>
    </row>
    <row r="330" spans="1:5">
      <c r="B330" t="s">
        <v>494</v>
      </c>
      <c r="C330" t="s">
        <v>106</v>
      </c>
      <c r="D330" t="s">
        <v>20</v>
      </c>
    </row>
    <row r="331" spans="1:5">
      <c r="B331" t="s">
        <v>498</v>
      </c>
      <c r="C331" t="s">
        <v>106</v>
      </c>
      <c r="D331" t="s">
        <v>20</v>
      </c>
    </row>
    <row r="332" spans="1:5">
      <c r="B332" t="s">
        <v>495</v>
      </c>
      <c r="C332" t="s">
        <v>106</v>
      </c>
      <c r="D332" t="s">
        <v>20</v>
      </c>
    </row>
    <row r="333" spans="1:5">
      <c r="B333" t="s">
        <v>496</v>
      </c>
      <c r="C333" t="s">
        <v>106</v>
      </c>
      <c r="D333" t="s">
        <v>20</v>
      </c>
    </row>
    <row r="334" spans="1:5">
      <c r="B334" t="s">
        <v>497</v>
      </c>
      <c r="C334" t="s">
        <v>106</v>
      </c>
      <c r="D334" t="s">
        <v>20</v>
      </c>
    </row>
    <row r="335" spans="1:5">
      <c r="B335" t="s">
        <v>504</v>
      </c>
      <c r="C335" t="s">
        <v>106</v>
      </c>
      <c r="D335" t="s">
        <v>20</v>
      </c>
    </row>
    <row r="336" spans="1:5">
      <c r="A336" t="s">
        <v>629</v>
      </c>
      <c r="B336" t="s">
        <v>547</v>
      </c>
      <c r="C336" t="s">
        <v>106</v>
      </c>
      <c r="D336" t="s">
        <v>20</v>
      </c>
      <c r="E336">
        <v>3</v>
      </c>
    </row>
    <row r="337" spans="1:5">
      <c r="A337" t="s">
        <v>630</v>
      </c>
      <c r="B337" t="s">
        <v>631</v>
      </c>
      <c r="C337" t="s">
        <v>106</v>
      </c>
      <c r="D337" t="s">
        <v>36</v>
      </c>
    </row>
    <row r="338" spans="1:5">
      <c r="A338" t="s">
        <v>632</v>
      </c>
      <c r="B338" t="s">
        <v>200</v>
      </c>
      <c r="C338" t="s">
        <v>28</v>
      </c>
    </row>
    <row r="339" spans="1:5">
      <c r="A339" t="s">
        <v>633</v>
      </c>
      <c r="B339" t="s">
        <v>634</v>
      </c>
      <c r="C339" t="s">
        <v>28</v>
      </c>
    </row>
    <row r="340" spans="1:5">
      <c r="A340" t="s">
        <v>635</v>
      </c>
      <c r="B340" t="s">
        <v>175</v>
      </c>
      <c r="C340" t="s">
        <v>28</v>
      </c>
      <c r="E340">
        <v>3</v>
      </c>
    </row>
    <row r="341" spans="1:5">
      <c r="A341" t="s">
        <v>636</v>
      </c>
      <c r="B341" t="s">
        <v>637</v>
      </c>
      <c r="C341" t="s">
        <v>40</v>
      </c>
      <c r="D341" t="s">
        <v>20</v>
      </c>
    </row>
    <row r="342" spans="1:5">
      <c r="B342" t="s">
        <v>638</v>
      </c>
      <c r="C342" t="s">
        <v>28</v>
      </c>
    </row>
    <row r="343" spans="1:5">
      <c r="B343" t="s">
        <v>639</v>
      </c>
      <c r="C343" t="s">
        <v>85</v>
      </c>
      <c r="D343" t="s">
        <v>59</v>
      </c>
    </row>
    <row r="344" spans="1:5">
      <c r="B344" t="s">
        <v>488</v>
      </c>
      <c r="C344" t="s">
        <v>106</v>
      </c>
      <c r="D344" t="s">
        <v>20</v>
      </c>
    </row>
    <row r="345" spans="1:5">
      <c r="B345" t="s">
        <v>74</v>
      </c>
      <c r="C345" t="s">
        <v>40</v>
      </c>
      <c r="D345" t="s">
        <v>20</v>
      </c>
    </row>
    <row r="346" spans="1:5">
      <c r="A346" t="s">
        <v>640</v>
      </c>
      <c r="C346"/>
      <c r="E346">
        <v>84</v>
      </c>
    </row>
    <row r="347" spans="1:5">
      <c r="C347"/>
    </row>
    <row r="348" spans="1:5">
      <c r="C348"/>
    </row>
    <row r="349" spans="1:5">
      <c r="C349"/>
    </row>
    <row r="350" spans="1:5">
      <c r="C350"/>
    </row>
    <row r="351" spans="1:5">
      <c r="C351"/>
    </row>
    <row r="352" spans="1:5">
      <c r="C352"/>
    </row>
    <row r="353" spans="3:3">
      <c r="C353"/>
    </row>
    <row r="354" spans="3:3">
      <c r="C354"/>
    </row>
  </sheetData>
  <pageMargins left="0.7" right="0.7" top="0.75" bottom="0.75" header="0.3" footer="0.3"/>
  <pageSetup paperSize="8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EB1B2-6832-4A87-9928-27ED14493668}">
  <dimension ref="A1:AM34"/>
  <sheetViews>
    <sheetView workbookViewId="0">
      <selection activeCell="X28" sqref="X28"/>
    </sheetView>
  </sheetViews>
  <sheetFormatPr defaultRowHeight="15"/>
  <cols>
    <col min="1" max="1" width="42" bestFit="1" customWidth="1"/>
    <col min="2" max="2" width="12.42578125" customWidth="1"/>
    <col min="39" max="39" width="11.85546875" bestFit="1" customWidth="1"/>
  </cols>
  <sheetData>
    <row r="1" spans="1:39" ht="29.25" customHeight="1">
      <c r="A1" s="10"/>
      <c r="B1" s="10"/>
      <c r="C1" s="10"/>
      <c r="D1" s="20" t="s">
        <v>641</v>
      </c>
      <c r="E1" s="20"/>
      <c r="F1" s="20"/>
      <c r="G1" s="20"/>
      <c r="H1" s="20"/>
      <c r="I1" s="20" t="s">
        <v>642</v>
      </c>
      <c r="J1" s="20"/>
      <c r="K1" s="20"/>
      <c r="L1" s="20"/>
      <c r="M1" s="20" t="s">
        <v>643</v>
      </c>
      <c r="N1" s="20"/>
      <c r="O1" s="20"/>
      <c r="P1" s="20"/>
      <c r="Q1" s="20"/>
      <c r="R1" s="20" t="s">
        <v>644</v>
      </c>
      <c r="S1" s="20"/>
      <c r="T1" s="20"/>
      <c r="U1" s="20" t="s">
        <v>645</v>
      </c>
      <c r="V1" s="20"/>
      <c r="W1" s="20"/>
      <c r="X1" s="21" t="s">
        <v>646</v>
      </c>
      <c r="Y1" s="21"/>
      <c r="Z1" s="21"/>
      <c r="AA1" s="20" t="s">
        <v>647</v>
      </c>
      <c r="AB1" s="20"/>
      <c r="AC1" s="20"/>
      <c r="AD1" s="20"/>
      <c r="AE1" s="20" t="s">
        <v>648</v>
      </c>
      <c r="AF1" s="20"/>
      <c r="AG1" s="20"/>
      <c r="AH1" s="21" t="s">
        <v>649</v>
      </c>
      <c r="AI1" s="21"/>
      <c r="AJ1" s="21"/>
      <c r="AK1" s="21"/>
      <c r="AL1" s="21"/>
      <c r="AM1" s="10"/>
    </row>
    <row r="2" spans="1:39">
      <c r="A2" s="2" t="s">
        <v>650</v>
      </c>
      <c r="B2" s="2" t="s">
        <v>651</v>
      </c>
      <c r="C2" s="2" t="s">
        <v>652</v>
      </c>
      <c r="D2" s="2" t="s">
        <v>653</v>
      </c>
      <c r="E2" s="2" t="s">
        <v>654</v>
      </c>
      <c r="F2" s="2" t="s">
        <v>655</v>
      </c>
      <c r="G2" s="2" t="s">
        <v>656</v>
      </c>
      <c r="H2" s="2" t="s">
        <v>657</v>
      </c>
      <c r="I2" s="2" t="s">
        <v>658</v>
      </c>
      <c r="J2" s="2" t="s">
        <v>659</v>
      </c>
      <c r="K2" s="2" t="s">
        <v>660</v>
      </c>
      <c r="L2" s="2" t="s">
        <v>661</v>
      </c>
      <c r="M2" s="2" t="s">
        <v>662</v>
      </c>
      <c r="N2" s="2" t="s">
        <v>663</v>
      </c>
      <c r="O2" s="2" t="s">
        <v>664</v>
      </c>
      <c r="P2" s="2" t="s">
        <v>665</v>
      </c>
      <c r="Q2" s="2" t="s">
        <v>666</v>
      </c>
      <c r="R2" s="2" t="s">
        <v>667</v>
      </c>
      <c r="S2" s="2" t="s">
        <v>668</v>
      </c>
      <c r="T2" s="2" t="s">
        <v>669</v>
      </c>
      <c r="U2" s="2" t="s">
        <v>670</v>
      </c>
      <c r="V2" s="2" t="s">
        <v>671</v>
      </c>
      <c r="W2" s="2" t="s">
        <v>672</v>
      </c>
      <c r="X2" s="2" t="s">
        <v>673</v>
      </c>
      <c r="Y2" s="2" t="s">
        <v>674</v>
      </c>
      <c r="Z2" s="2" t="s">
        <v>675</v>
      </c>
      <c r="AA2" s="2" t="s">
        <v>676</v>
      </c>
      <c r="AB2" s="2" t="s">
        <v>677</v>
      </c>
      <c r="AC2" s="2" t="s">
        <v>678</v>
      </c>
      <c r="AD2" s="2" t="s">
        <v>679</v>
      </c>
      <c r="AE2" s="2" t="s">
        <v>680</v>
      </c>
      <c r="AF2" s="2" t="s">
        <v>681</v>
      </c>
      <c r="AG2" s="2" t="s">
        <v>682</v>
      </c>
      <c r="AH2" s="2" t="s">
        <v>683</v>
      </c>
      <c r="AI2" s="2" t="s">
        <v>684</v>
      </c>
      <c r="AJ2" s="2" t="s">
        <v>685</v>
      </c>
      <c r="AK2" s="2" t="s">
        <v>686</v>
      </c>
      <c r="AL2" s="2" t="s">
        <v>687</v>
      </c>
      <c r="AM2" t="s">
        <v>688</v>
      </c>
    </row>
    <row r="3" spans="1:39">
      <c r="A3" t="s">
        <v>94</v>
      </c>
      <c r="B3" t="s">
        <v>23</v>
      </c>
      <c r="C3">
        <f>COUNTIF(D3:AL3,"oui")</f>
        <v>3</v>
      </c>
      <c r="E3" t="s">
        <v>23</v>
      </c>
      <c r="U3" t="s">
        <v>23</v>
      </c>
      <c r="Y3" t="s">
        <v>23</v>
      </c>
    </row>
    <row r="4" spans="1:39">
      <c r="A4" t="s">
        <v>613</v>
      </c>
      <c r="B4" t="s">
        <v>23</v>
      </c>
      <c r="C4">
        <f>COUNTIF(D4:AL4,"oui")</f>
        <v>3</v>
      </c>
      <c r="E4" t="s">
        <v>23</v>
      </c>
      <c r="N4" t="s">
        <v>23</v>
      </c>
      <c r="W4" t="s">
        <v>23</v>
      </c>
    </row>
    <row r="5" spans="1:39">
      <c r="A5" t="s">
        <v>67</v>
      </c>
      <c r="B5" t="s">
        <v>23</v>
      </c>
      <c r="C5">
        <f t="shared" ref="C5:C33" si="0">COUNTIF(D5:AL5,"oui")</f>
        <v>3</v>
      </c>
      <c r="F5" t="s">
        <v>23</v>
      </c>
      <c r="U5" t="s">
        <v>23</v>
      </c>
      <c r="Z5" t="s">
        <v>23</v>
      </c>
    </row>
    <row r="6" spans="1:39">
      <c r="A6" t="s">
        <v>87</v>
      </c>
      <c r="B6" t="s">
        <v>23</v>
      </c>
      <c r="C6">
        <f t="shared" si="0"/>
        <v>3</v>
      </c>
      <c r="S6" t="s">
        <v>23</v>
      </c>
      <c r="V6" t="s">
        <v>23</v>
      </c>
      <c r="Z6" t="s">
        <v>23</v>
      </c>
    </row>
    <row r="7" spans="1:39">
      <c r="A7" t="s">
        <v>73</v>
      </c>
      <c r="B7" t="s">
        <v>23</v>
      </c>
      <c r="C7">
        <f t="shared" si="0"/>
        <v>3</v>
      </c>
      <c r="O7" t="s">
        <v>23</v>
      </c>
      <c r="V7" t="s">
        <v>23</v>
      </c>
      <c r="Z7" t="s">
        <v>23</v>
      </c>
    </row>
    <row r="8" spans="1:39">
      <c r="A8" t="s">
        <v>93</v>
      </c>
      <c r="B8" t="s">
        <v>23</v>
      </c>
      <c r="C8">
        <f t="shared" si="0"/>
        <v>3</v>
      </c>
      <c r="E8" t="s">
        <v>23</v>
      </c>
      <c r="S8" t="s">
        <v>23</v>
      </c>
      <c r="U8" t="s">
        <v>23</v>
      </c>
    </row>
    <row r="9" spans="1:39">
      <c r="A9" t="s">
        <v>689</v>
      </c>
      <c r="B9" t="s">
        <v>23</v>
      </c>
      <c r="C9">
        <f t="shared" si="0"/>
        <v>3</v>
      </c>
      <c r="H9" t="s">
        <v>23</v>
      </c>
      <c r="U9" t="s">
        <v>23</v>
      </c>
      <c r="AA9" t="s">
        <v>23</v>
      </c>
    </row>
    <row r="10" spans="1:39">
      <c r="A10" t="s">
        <v>17</v>
      </c>
      <c r="B10" t="s">
        <v>23</v>
      </c>
      <c r="C10">
        <f t="shared" si="0"/>
        <v>3</v>
      </c>
      <c r="U10" t="s">
        <v>23</v>
      </c>
      <c r="V10" t="s">
        <v>23</v>
      </c>
      <c r="X10" t="s">
        <v>23</v>
      </c>
    </row>
    <row r="11" spans="1:39">
      <c r="A11" t="s">
        <v>76</v>
      </c>
      <c r="B11" t="s">
        <v>23</v>
      </c>
      <c r="C11">
        <f t="shared" si="0"/>
        <v>3</v>
      </c>
      <c r="U11" t="s">
        <v>23</v>
      </c>
      <c r="W11" t="s">
        <v>23</v>
      </c>
      <c r="Z11" t="s">
        <v>23</v>
      </c>
    </row>
    <row r="12" spans="1:39">
      <c r="A12" t="s">
        <v>81</v>
      </c>
      <c r="B12" t="s">
        <v>23</v>
      </c>
      <c r="C12">
        <f t="shared" si="0"/>
        <v>3</v>
      </c>
      <c r="H12" t="s">
        <v>23</v>
      </c>
      <c r="W12" t="s">
        <v>23</v>
      </c>
      <c r="AA12" t="s">
        <v>23</v>
      </c>
      <c r="AC12" t="s">
        <v>70</v>
      </c>
    </row>
    <row r="13" spans="1:39">
      <c r="A13" t="s">
        <v>74</v>
      </c>
      <c r="B13" t="s">
        <v>23</v>
      </c>
      <c r="C13">
        <f t="shared" si="0"/>
        <v>3</v>
      </c>
      <c r="O13" t="s">
        <v>23</v>
      </c>
      <c r="W13" t="s">
        <v>23</v>
      </c>
      <c r="Z13" t="s">
        <v>23</v>
      </c>
    </row>
    <row r="14" spans="1:39">
      <c r="A14" t="s">
        <v>69</v>
      </c>
      <c r="B14" t="s">
        <v>23</v>
      </c>
      <c r="C14">
        <f t="shared" si="0"/>
        <v>3</v>
      </c>
      <c r="F14" t="s">
        <v>23</v>
      </c>
      <c r="H14" t="s">
        <v>23</v>
      </c>
      <c r="W14" t="s">
        <v>23</v>
      </c>
    </row>
    <row r="15" spans="1:39">
      <c r="A15" t="s">
        <v>66</v>
      </c>
      <c r="B15" t="s">
        <v>23</v>
      </c>
      <c r="C15">
        <f t="shared" si="0"/>
        <v>3</v>
      </c>
      <c r="H15" t="s">
        <v>23</v>
      </c>
      <c r="V15" t="s">
        <v>23</v>
      </c>
      <c r="AA15" t="s">
        <v>23</v>
      </c>
    </row>
    <row r="16" spans="1:39">
      <c r="A16" t="s">
        <v>82</v>
      </c>
      <c r="B16" t="s">
        <v>23</v>
      </c>
      <c r="C16">
        <f t="shared" si="0"/>
        <v>3</v>
      </c>
      <c r="W16" t="s">
        <v>23</v>
      </c>
      <c r="Z16" t="s">
        <v>23</v>
      </c>
      <c r="AA16" t="s">
        <v>23</v>
      </c>
    </row>
    <row r="17" spans="1:33">
      <c r="A17" t="s">
        <v>83</v>
      </c>
      <c r="B17" t="s">
        <v>23</v>
      </c>
      <c r="C17">
        <f t="shared" si="0"/>
        <v>3</v>
      </c>
      <c r="R17" t="s">
        <v>23</v>
      </c>
      <c r="S17" t="s">
        <v>70</v>
      </c>
      <c r="AA17" t="s">
        <v>70</v>
      </c>
      <c r="AB17" t="s">
        <v>23</v>
      </c>
      <c r="AE17" t="s">
        <v>23</v>
      </c>
      <c r="AF17" t="s">
        <v>70</v>
      </c>
      <c r="AG17" t="s">
        <v>70</v>
      </c>
    </row>
    <row r="18" spans="1:33">
      <c r="A18" t="s">
        <v>86</v>
      </c>
      <c r="B18" t="s">
        <v>23</v>
      </c>
      <c r="C18">
        <f t="shared" si="0"/>
        <v>3</v>
      </c>
      <c r="S18" t="s">
        <v>23</v>
      </c>
      <c r="AA18" t="s">
        <v>23</v>
      </c>
      <c r="AF18" t="s">
        <v>23</v>
      </c>
    </row>
    <row r="19" spans="1:33">
      <c r="A19" t="s">
        <v>256</v>
      </c>
      <c r="B19" t="s">
        <v>25</v>
      </c>
      <c r="C19">
        <f t="shared" si="0"/>
        <v>3</v>
      </c>
      <c r="H19" t="s">
        <v>23</v>
      </c>
      <c r="X19" t="s">
        <v>23</v>
      </c>
      <c r="Y19" t="s">
        <v>23</v>
      </c>
    </row>
    <row r="20" spans="1:33">
      <c r="A20" t="s">
        <v>77</v>
      </c>
      <c r="B20" t="s">
        <v>23</v>
      </c>
      <c r="C20">
        <f t="shared" si="0"/>
        <v>3</v>
      </c>
      <c r="T20" t="s">
        <v>23</v>
      </c>
      <c r="U20" t="s">
        <v>23</v>
      </c>
      <c r="X20" t="s">
        <v>23</v>
      </c>
    </row>
    <row r="21" spans="1:33">
      <c r="A21" t="s">
        <v>605</v>
      </c>
      <c r="B21" t="s">
        <v>25</v>
      </c>
      <c r="C21">
        <f t="shared" si="0"/>
        <v>3</v>
      </c>
      <c r="F21" t="s">
        <v>23</v>
      </c>
      <c r="S21" t="s">
        <v>23</v>
      </c>
      <c r="T21" t="s">
        <v>23</v>
      </c>
    </row>
    <row r="22" spans="1:33">
      <c r="A22" t="s">
        <v>606</v>
      </c>
      <c r="B22" t="s">
        <v>23</v>
      </c>
      <c r="C22">
        <f t="shared" si="0"/>
        <v>3</v>
      </c>
      <c r="F22" t="s">
        <v>23</v>
      </c>
      <c r="S22" t="s">
        <v>23</v>
      </c>
      <c r="T22" t="s">
        <v>23</v>
      </c>
    </row>
    <row r="23" spans="1:33">
      <c r="A23" t="s">
        <v>690</v>
      </c>
      <c r="B23" t="s">
        <v>23</v>
      </c>
      <c r="C23">
        <f>COUNTIF(D23:AL23,"oui")</f>
        <v>3</v>
      </c>
      <c r="F23" t="s">
        <v>23</v>
      </c>
      <c r="S23" t="s">
        <v>23</v>
      </c>
      <c r="T23" t="s">
        <v>23</v>
      </c>
      <c r="X23" t="s">
        <v>70</v>
      </c>
    </row>
    <row r="24" spans="1:33">
      <c r="A24" t="s">
        <v>98</v>
      </c>
      <c r="B24" t="s">
        <v>23</v>
      </c>
      <c r="C24">
        <f t="shared" ref="C24:C28" si="1">COUNTIF(D24:AL24,"oui")</f>
        <v>3</v>
      </c>
      <c r="J24" t="s">
        <v>23</v>
      </c>
      <c r="X24" t="s">
        <v>23</v>
      </c>
      <c r="Y24" t="s">
        <v>23</v>
      </c>
    </row>
    <row r="25" spans="1:33">
      <c r="A25" t="s">
        <v>105</v>
      </c>
      <c r="B25" t="s">
        <v>23</v>
      </c>
      <c r="C25">
        <f t="shared" si="1"/>
        <v>3</v>
      </c>
      <c r="D25" t="s">
        <v>23</v>
      </c>
      <c r="O25" t="s">
        <v>23</v>
      </c>
      <c r="T25" t="s">
        <v>70</v>
      </c>
      <c r="W25" t="s">
        <v>23</v>
      </c>
    </row>
    <row r="26" spans="1:33">
      <c r="A26" t="s">
        <v>108</v>
      </c>
      <c r="B26" t="s">
        <v>23</v>
      </c>
      <c r="C26">
        <f t="shared" si="1"/>
        <v>3</v>
      </c>
      <c r="F26" t="s">
        <v>23</v>
      </c>
      <c r="G26" t="s">
        <v>23</v>
      </c>
      <c r="Y26" t="s">
        <v>23</v>
      </c>
    </row>
    <row r="27" spans="1:33">
      <c r="A27" t="s">
        <v>109</v>
      </c>
      <c r="B27" t="s">
        <v>23</v>
      </c>
      <c r="C27">
        <f t="shared" si="1"/>
        <v>3</v>
      </c>
      <c r="E27" t="s">
        <v>23</v>
      </c>
      <c r="T27" t="s">
        <v>23</v>
      </c>
      <c r="Y27" t="s">
        <v>23</v>
      </c>
    </row>
    <row r="28" spans="1:33">
      <c r="A28" t="s">
        <v>110</v>
      </c>
      <c r="B28" t="s">
        <v>23</v>
      </c>
      <c r="C28">
        <f t="shared" si="1"/>
        <v>3</v>
      </c>
      <c r="F28" t="s">
        <v>70</v>
      </c>
      <c r="H28" t="s">
        <v>23</v>
      </c>
      <c r="X28" t="s">
        <v>23</v>
      </c>
      <c r="Y28" t="s">
        <v>23</v>
      </c>
    </row>
    <row r="29" spans="1:33">
      <c r="A29" t="s">
        <v>42</v>
      </c>
      <c r="B29" t="s">
        <v>23</v>
      </c>
      <c r="C29">
        <f t="shared" si="0"/>
        <v>3</v>
      </c>
      <c r="F29" t="s">
        <v>23</v>
      </c>
      <c r="W29" t="s">
        <v>23</v>
      </c>
      <c r="X29" t="s">
        <v>23</v>
      </c>
    </row>
    <row r="30" spans="1:33">
      <c r="A30" t="s">
        <v>553</v>
      </c>
      <c r="B30" t="s">
        <v>23</v>
      </c>
      <c r="C30">
        <f>COUNTIF(D30:AL30,"oui")</f>
        <v>3</v>
      </c>
      <c r="H30" t="s">
        <v>23</v>
      </c>
      <c r="U30" t="s">
        <v>23</v>
      </c>
      <c r="X30" t="s">
        <v>23</v>
      </c>
    </row>
    <row r="31" spans="1:33">
      <c r="A31" t="s">
        <v>34</v>
      </c>
      <c r="B31" t="s">
        <v>23</v>
      </c>
      <c r="C31">
        <f>COUNTIF(D31:AL31,"oui")</f>
        <v>3</v>
      </c>
      <c r="H31" t="s">
        <v>23</v>
      </c>
      <c r="U31" t="s">
        <v>23</v>
      </c>
      <c r="Z31" t="s">
        <v>23</v>
      </c>
    </row>
    <row r="32" spans="1:33">
      <c r="A32" t="s">
        <v>582</v>
      </c>
      <c r="B32" t="s">
        <v>23</v>
      </c>
      <c r="C32">
        <f>COUNTIF(D32:AL32,"oui")</f>
        <v>0</v>
      </c>
    </row>
    <row r="33" spans="1:38">
      <c r="A33" t="s">
        <v>17</v>
      </c>
      <c r="B33" t="s">
        <v>23</v>
      </c>
      <c r="C33">
        <f t="shared" si="0"/>
        <v>3</v>
      </c>
      <c r="U33" t="s">
        <v>23</v>
      </c>
      <c r="V33" t="s">
        <v>23</v>
      </c>
      <c r="X33" t="s">
        <v>23</v>
      </c>
    </row>
    <row r="34" spans="1:38">
      <c r="A34" t="s">
        <v>691</v>
      </c>
      <c r="D34">
        <f>COUNTIF(D3:D33,"oui")</f>
        <v>1</v>
      </c>
      <c r="E34">
        <f>COUNTIF(E3:E33,"oui")</f>
        <v>4</v>
      </c>
      <c r="F34">
        <f>COUNTIF(F3:F33,"oui")</f>
        <v>7</v>
      </c>
      <c r="G34">
        <f>COUNTIF(G3:G33,"oui")</f>
        <v>1</v>
      </c>
      <c r="H34">
        <f>COUNTIF(H3:H33,"oui")</f>
        <v>8</v>
      </c>
      <c r="I34">
        <f>COUNTIF(I3:I33,"oui")</f>
        <v>0</v>
      </c>
      <c r="J34">
        <f>COUNTIF(J3:J33,"oui")</f>
        <v>1</v>
      </c>
      <c r="K34">
        <f>COUNTIF(K3:K33,"oui")</f>
        <v>0</v>
      </c>
      <c r="L34">
        <f>COUNTIF(L3:L33,"oui")</f>
        <v>0</v>
      </c>
      <c r="M34">
        <f>COUNTIF(M3:M33,"oui")</f>
        <v>0</v>
      </c>
      <c r="N34">
        <f>COUNTIF(N3:N33,"oui")</f>
        <v>1</v>
      </c>
      <c r="O34">
        <f>COUNTIF(O3:O33,"oui")</f>
        <v>3</v>
      </c>
      <c r="P34">
        <f>COUNTIF(P3:P33,"oui")</f>
        <v>0</v>
      </c>
      <c r="Q34">
        <f>COUNTIF(Q3:Q33,"oui")</f>
        <v>0</v>
      </c>
      <c r="R34">
        <f>COUNTIF(R3:R33,"oui")</f>
        <v>1</v>
      </c>
      <c r="S34">
        <f>COUNTIF(S3:S33,"oui")</f>
        <v>6</v>
      </c>
      <c r="T34">
        <f>COUNTIF(T3:T33,"oui")</f>
        <v>5</v>
      </c>
      <c r="U34">
        <f>COUNTIF(U3:U33,"oui")</f>
        <v>10</v>
      </c>
      <c r="V34">
        <f>COUNTIF(V3:V33,"oui")</f>
        <v>5</v>
      </c>
      <c r="W34">
        <f>COUNTIF(W3:W33,"oui")</f>
        <v>8</v>
      </c>
      <c r="X34">
        <f>COUNTIF(X3:X33,"oui")</f>
        <v>8</v>
      </c>
      <c r="Y34">
        <f>COUNTIF(Y3:Y33,"oui")</f>
        <v>6</v>
      </c>
      <c r="Z34">
        <f>COUNTIF(Z3:Z33,"oui")</f>
        <v>7</v>
      </c>
      <c r="AA34">
        <f>COUNTIF(AA3:AA33,"oui")</f>
        <v>5</v>
      </c>
      <c r="AB34">
        <f>COUNTIF(AB3:AB33,"oui")</f>
        <v>1</v>
      </c>
      <c r="AC34">
        <f>COUNTIF(AC3:AC33,"oui")</f>
        <v>0</v>
      </c>
      <c r="AD34">
        <f>COUNTIF(AD3:AD33,"oui")</f>
        <v>0</v>
      </c>
      <c r="AE34">
        <f>COUNTIF(AE3:AE33,"oui")</f>
        <v>1</v>
      </c>
      <c r="AF34">
        <f>COUNTIF(AF3:AF33,"oui")</f>
        <v>1</v>
      </c>
      <c r="AG34">
        <f>COUNTIF(AG3:AG33,"oui")</f>
        <v>0</v>
      </c>
      <c r="AH34">
        <f>COUNTIF(AH3:AH33,"oui")</f>
        <v>0</v>
      </c>
      <c r="AI34">
        <f>COUNTIF(AI3:AI33,"oui")</f>
        <v>0</v>
      </c>
      <c r="AJ34">
        <f>COUNTIF(AJ3:AJ33,"oui")</f>
        <v>0</v>
      </c>
      <c r="AK34">
        <f>COUNTIF(AK3:AK33,"oui")</f>
        <v>0</v>
      </c>
      <c r="AL34">
        <f>COUNTIF(AL3:AL33,"oui")</f>
        <v>0</v>
      </c>
    </row>
  </sheetData>
  <mergeCells count="9">
    <mergeCell ref="AA1:AD1"/>
    <mergeCell ref="AE1:AG1"/>
    <mergeCell ref="AH1:AL1"/>
    <mergeCell ref="D1:H1"/>
    <mergeCell ref="I1:L1"/>
    <mergeCell ref="M1:Q1"/>
    <mergeCell ref="R1:T1"/>
    <mergeCell ref="U1:W1"/>
    <mergeCell ref="X1:Z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2601E58-EFC8-4F52-80C0-4C766F0BEB20}">
          <x14:formula1>
            <xm:f>src!$H$2:$H$3</xm:f>
          </x14:formula1>
          <xm:sqref>B2:B33</xm:sqref>
        </x14:dataValidation>
        <x14:dataValidation type="list" allowBlank="1" showInputMessage="1" showErrorMessage="1" xr:uid="{224C26DD-8157-481F-B493-C04B48AA4CEE}">
          <x14:formula1>
            <xm:f>src!$I$2:$I$3</xm:f>
          </x14:formula1>
          <xm:sqref>D3:AL33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967CC-D32B-4B30-A072-8449A119AF22}">
  <dimension ref="A1:AM40"/>
  <sheetViews>
    <sheetView topLeftCell="A8" workbookViewId="0">
      <selection activeCell="X20" sqref="X20"/>
    </sheetView>
  </sheetViews>
  <sheetFormatPr defaultRowHeight="15"/>
  <cols>
    <col min="1" max="1" width="65.5703125" bestFit="1" customWidth="1"/>
    <col min="2" max="2" width="10.42578125" bestFit="1" customWidth="1"/>
  </cols>
  <sheetData>
    <row r="1" spans="1:39">
      <c r="A1" s="10"/>
      <c r="B1" s="10"/>
      <c r="C1" s="10"/>
      <c r="D1" s="22" t="s">
        <v>641</v>
      </c>
      <c r="E1" s="22"/>
      <c r="F1" s="22"/>
      <c r="G1" s="22"/>
      <c r="H1" s="22"/>
      <c r="I1" s="22" t="s">
        <v>642</v>
      </c>
      <c r="J1" s="22"/>
      <c r="K1" s="22"/>
      <c r="L1" s="22"/>
      <c r="M1" s="22" t="s">
        <v>643</v>
      </c>
      <c r="N1" s="22"/>
      <c r="O1" s="22"/>
      <c r="P1" s="22"/>
      <c r="Q1" s="22"/>
      <c r="R1" s="22" t="s">
        <v>644</v>
      </c>
      <c r="S1" s="22"/>
      <c r="T1" s="22"/>
      <c r="U1" s="22" t="s">
        <v>645</v>
      </c>
      <c r="V1" s="22"/>
      <c r="W1" s="22"/>
      <c r="X1" s="23" t="s">
        <v>646</v>
      </c>
      <c r="Y1" s="23"/>
      <c r="Z1" s="23"/>
      <c r="AA1" s="22" t="s">
        <v>647</v>
      </c>
      <c r="AB1" s="22"/>
      <c r="AC1" s="22"/>
      <c r="AD1" s="22"/>
      <c r="AE1" s="22" t="s">
        <v>648</v>
      </c>
      <c r="AF1" s="22"/>
      <c r="AG1" s="22"/>
      <c r="AH1" s="23" t="s">
        <v>649</v>
      </c>
      <c r="AI1" s="23"/>
      <c r="AJ1" s="23"/>
      <c r="AK1" s="23"/>
      <c r="AL1" s="23"/>
    </row>
    <row r="2" spans="1:39">
      <c r="A2" s="2" t="s">
        <v>650</v>
      </c>
      <c r="B2" s="2" t="s">
        <v>651</v>
      </c>
      <c r="C2" s="2" t="s">
        <v>652</v>
      </c>
      <c r="D2" s="2" t="s">
        <v>653</v>
      </c>
      <c r="E2" s="2" t="s">
        <v>654</v>
      </c>
      <c r="F2" s="2" t="s">
        <v>655</v>
      </c>
      <c r="G2" s="2" t="s">
        <v>656</v>
      </c>
      <c r="H2" s="2" t="s">
        <v>657</v>
      </c>
      <c r="I2" s="2" t="s">
        <v>658</v>
      </c>
      <c r="J2" s="2" t="s">
        <v>659</v>
      </c>
      <c r="K2" s="2" t="s">
        <v>660</v>
      </c>
      <c r="L2" s="2" t="s">
        <v>661</v>
      </c>
      <c r="M2" s="2" t="s">
        <v>662</v>
      </c>
      <c r="N2" s="2" t="s">
        <v>663</v>
      </c>
      <c r="O2" s="2" t="s">
        <v>664</v>
      </c>
      <c r="P2" s="2" t="s">
        <v>665</v>
      </c>
      <c r="Q2" s="2" t="s">
        <v>666</v>
      </c>
      <c r="R2" s="2" t="s">
        <v>667</v>
      </c>
      <c r="S2" s="2" t="s">
        <v>668</v>
      </c>
      <c r="T2" s="2" t="s">
        <v>669</v>
      </c>
      <c r="U2" s="2" t="s">
        <v>670</v>
      </c>
      <c r="V2" s="2" t="s">
        <v>671</v>
      </c>
      <c r="W2" s="2" t="s">
        <v>672</v>
      </c>
      <c r="X2" s="2" t="s">
        <v>673</v>
      </c>
      <c r="Y2" s="2" t="s">
        <v>674</v>
      </c>
      <c r="Z2" s="2" t="s">
        <v>675</v>
      </c>
      <c r="AA2" s="2" t="s">
        <v>676</v>
      </c>
      <c r="AB2" s="2" t="s">
        <v>677</v>
      </c>
      <c r="AC2" s="2" t="s">
        <v>678</v>
      </c>
      <c r="AD2" s="2" t="s">
        <v>679</v>
      </c>
      <c r="AE2" s="2" t="s">
        <v>680</v>
      </c>
      <c r="AF2" s="2" t="s">
        <v>681</v>
      </c>
      <c r="AG2" s="2" t="s">
        <v>682</v>
      </c>
      <c r="AH2" s="2" t="s">
        <v>683</v>
      </c>
      <c r="AI2" s="2" t="s">
        <v>684</v>
      </c>
      <c r="AJ2" s="2" t="s">
        <v>685</v>
      </c>
      <c r="AK2" s="2" t="s">
        <v>686</v>
      </c>
      <c r="AL2" s="2" t="s">
        <v>687</v>
      </c>
    </row>
    <row r="3" spans="1:39">
      <c r="A3" t="s">
        <v>112</v>
      </c>
      <c r="B3" t="s">
        <v>23</v>
      </c>
      <c r="C3">
        <f>AM3</f>
        <v>3</v>
      </c>
      <c r="U3" t="s">
        <v>23</v>
      </c>
      <c r="X3" t="s">
        <v>23</v>
      </c>
      <c r="AG3" t="s">
        <v>23</v>
      </c>
      <c r="AM3">
        <f>COUNTIF(D3:AL3,"oui")</f>
        <v>3</v>
      </c>
    </row>
    <row r="4" spans="1:39">
      <c r="A4" t="s">
        <v>117</v>
      </c>
      <c r="B4" t="s">
        <v>23</v>
      </c>
      <c r="C4">
        <f>AM4</f>
        <v>3</v>
      </c>
      <c r="R4" t="s">
        <v>23</v>
      </c>
      <c r="U4" t="s">
        <v>23</v>
      </c>
      <c r="X4" t="s">
        <v>23</v>
      </c>
      <c r="AM4">
        <f t="shared" ref="AM4:AM39" si="0">COUNTIF(D4:AL4,"oui")</f>
        <v>3</v>
      </c>
    </row>
    <row r="5" spans="1:39">
      <c r="A5" t="s">
        <v>119</v>
      </c>
      <c r="B5" t="s">
        <v>23</v>
      </c>
      <c r="C5">
        <f>AM5</f>
        <v>3</v>
      </c>
      <c r="T5" t="s">
        <v>23</v>
      </c>
      <c r="W5" t="s">
        <v>23</v>
      </c>
      <c r="Y5" t="s">
        <v>23</v>
      </c>
      <c r="AM5">
        <f t="shared" si="0"/>
        <v>3</v>
      </c>
    </row>
    <row r="6" spans="1:39">
      <c r="A6" t="s">
        <v>121</v>
      </c>
      <c r="B6" t="s">
        <v>23</v>
      </c>
      <c r="C6">
        <f>AM6</f>
        <v>3</v>
      </c>
      <c r="V6" t="s">
        <v>23</v>
      </c>
      <c r="Z6" t="s">
        <v>23</v>
      </c>
      <c r="AA6" t="s">
        <v>23</v>
      </c>
      <c r="AM6">
        <f t="shared" si="0"/>
        <v>3</v>
      </c>
    </row>
    <row r="7" spans="1:39">
      <c r="A7" t="s">
        <v>123</v>
      </c>
      <c r="B7" t="s">
        <v>23</v>
      </c>
      <c r="C7">
        <f>AM7</f>
        <v>3</v>
      </c>
      <c r="T7" t="s">
        <v>23</v>
      </c>
      <c r="V7" t="s">
        <v>23</v>
      </c>
      <c r="Y7" t="s">
        <v>23</v>
      </c>
      <c r="AM7">
        <f t="shared" si="0"/>
        <v>3</v>
      </c>
    </row>
    <row r="8" spans="1:39">
      <c r="A8" t="s">
        <v>125</v>
      </c>
      <c r="B8" t="s">
        <v>23</v>
      </c>
      <c r="C8">
        <f>AM8</f>
        <v>3</v>
      </c>
      <c r="W8" t="s">
        <v>23</v>
      </c>
      <c r="Z8" t="s">
        <v>23</v>
      </c>
      <c r="AA8" t="s">
        <v>23</v>
      </c>
      <c r="AM8">
        <f t="shared" si="0"/>
        <v>3</v>
      </c>
    </row>
    <row r="9" spans="1:39">
      <c r="A9" t="s">
        <v>127</v>
      </c>
      <c r="B9" t="s">
        <v>23</v>
      </c>
      <c r="C9">
        <f>AM9</f>
        <v>3</v>
      </c>
      <c r="V9" t="s">
        <v>23</v>
      </c>
      <c r="Y9" t="s">
        <v>23</v>
      </c>
      <c r="AD9" t="s">
        <v>23</v>
      </c>
      <c r="AM9">
        <f t="shared" si="0"/>
        <v>3</v>
      </c>
    </row>
    <row r="10" spans="1:39">
      <c r="A10" t="s">
        <v>129</v>
      </c>
      <c r="B10" t="s">
        <v>23</v>
      </c>
      <c r="C10">
        <f>AM10</f>
        <v>3</v>
      </c>
      <c r="I10" t="s">
        <v>23</v>
      </c>
      <c r="M10" t="s">
        <v>23</v>
      </c>
      <c r="AB10" t="s">
        <v>23</v>
      </c>
      <c r="AM10">
        <f t="shared" si="0"/>
        <v>3</v>
      </c>
    </row>
    <row r="11" spans="1:39">
      <c r="A11" t="s">
        <v>131</v>
      </c>
      <c r="B11" t="s">
        <v>23</v>
      </c>
      <c r="C11">
        <f>AM11</f>
        <v>3</v>
      </c>
      <c r="F11" t="s">
        <v>23</v>
      </c>
      <c r="S11" t="s">
        <v>23</v>
      </c>
      <c r="W11" t="s">
        <v>23</v>
      </c>
      <c r="AM11">
        <f t="shared" si="0"/>
        <v>3</v>
      </c>
    </row>
    <row r="12" spans="1:39">
      <c r="A12" t="s">
        <v>133</v>
      </c>
      <c r="B12" t="s">
        <v>23</v>
      </c>
      <c r="C12">
        <f>AM12</f>
        <v>3</v>
      </c>
      <c r="T12" t="s">
        <v>23</v>
      </c>
      <c r="V12" t="s">
        <v>23</v>
      </c>
      <c r="Z12" t="s">
        <v>23</v>
      </c>
      <c r="AM12">
        <f t="shared" si="0"/>
        <v>3</v>
      </c>
    </row>
    <row r="13" spans="1:39">
      <c r="A13" t="s">
        <v>135</v>
      </c>
      <c r="B13" t="s">
        <v>23</v>
      </c>
      <c r="C13">
        <f>AM13</f>
        <v>3</v>
      </c>
      <c r="H13" t="s">
        <v>23</v>
      </c>
      <c r="S13" t="s">
        <v>23</v>
      </c>
      <c r="W13" t="s">
        <v>23</v>
      </c>
      <c r="AM13">
        <f t="shared" si="0"/>
        <v>3</v>
      </c>
    </row>
    <row r="14" spans="1:39">
      <c r="A14" t="s">
        <v>692</v>
      </c>
      <c r="B14" t="s">
        <v>23</v>
      </c>
      <c r="C14">
        <f>AM14</f>
        <v>0</v>
      </c>
      <c r="AM14">
        <f t="shared" si="0"/>
        <v>0</v>
      </c>
    </row>
    <row r="15" spans="1:39">
      <c r="A15" s="4" t="s">
        <v>215</v>
      </c>
      <c r="B15" t="s">
        <v>23</v>
      </c>
      <c r="C15">
        <f t="shared" ref="C15:C20" si="1">AM15</f>
        <v>3</v>
      </c>
      <c r="F15" t="s">
        <v>23</v>
      </c>
      <c r="R15" t="s">
        <v>23</v>
      </c>
      <c r="T15" t="s">
        <v>23</v>
      </c>
      <c r="AM15">
        <f t="shared" si="0"/>
        <v>3</v>
      </c>
    </row>
    <row r="16" spans="1:39">
      <c r="A16" s="4" t="s">
        <v>218</v>
      </c>
      <c r="B16" t="s">
        <v>23</v>
      </c>
      <c r="C16">
        <f t="shared" si="1"/>
        <v>3</v>
      </c>
      <c r="U16" t="s">
        <v>23</v>
      </c>
      <c r="Y16" t="s">
        <v>23</v>
      </c>
      <c r="AA16" t="s">
        <v>23</v>
      </c>
      <c r="AM16">
        <f t="shared" si="0"/>
        <v>3</v>
      </c>
    </row>
    <row r="17" spans="1:39">
      <c r="A17" s="4" t="s">
        <v>219</v>
      </c>
      <c r="B17" t="s">
        <v>23</v>
      </c>
      <c r="C17">
        <f t="shared" si="1"/>
        <v>3</v>
      </c>
      <c r="H17" t="s">
        <v>23</v>
      </c>
      <c r="S17" t="s">
        <v>23</v>
      </c>
      <c r="V17" t="s">
        <v>23</v>
      </c>
      <c r="AM17">
        <f t="shared" si="0"/>
        <v>3</v>
      </c>
    </row>
    <row r="18" spans="1:39">
      <c r="A18" s="4" t="s">
        <v>220</v>
      </c>
      <c r="B18" t="s">
        <v>23</v>
      </c>
      <c r="C18">
        <f t="shared" si="1"/>
        <v>3</v>
      </c>
      <c r="F18" t="s">
        <v>23</v>
      </c>
      <c r="S18" t="s">
        <v>23</v>
      </c>
      <c r="Z18" t="s">
        <v>23</v>
      </c>
      <c r="AM18">
        <f t="shared" si="0"/>
        <v>3</v>
      </c>
    </row>
    <row r="19" spans="1:39">
      <c r="A19" s="4" t="s">
        <v>221</v>
      </c>
      <c r="B19" t="s">
        <v>23</v>
      </c>
      <c r="C19">
        <f t="shared" si="1"/>
        <v>3</v>
      </c>
      <c r="T19" t="s">
        <v>23</v>
      </c>
      <c r="V19" t="s">
        <v>23</v>
      </c>
      <c r="AB19" t="s">
        <v>23</v>
      </c>
      <c r="AM19">
        <f t="shared" si="0"/>
        <v>3</v>
      </c>
    </row>
    <row r="20" spans="1:39">
      <c r="A20" s="4" t="s">
        <v>222</v>
      </c>
      <c r="B20" t="s">
        <v>23</v>
      </c>
      <c r="C20">
        <f t="shared" si="1"/>
        <v>3</v>
      </c>
      <c r="H20" t="s">
        <v>23</v>
      </c>
      <c r="W20" t="s">
        <v>23</v>
      </c>
      <c r="X20" t="s">
        <v>23</v>
      </c>
      <c r="AM20">
        <f t="shared" si="0"/>
        <v>3</v>
      </c>
    </row>
    <row r="21" spans="1:39">
      <c r="A21" t="s">
        <v>234</v>
      </c>
      <c r="B21" t="s">
        <v>23</v>
      </c>
      <c r="C21">
        <f>AM21</f>
        <v>3</v>
      </c>
      <c r="H21" t="s">
        <v>23</v>
      </c>
      <c r="W21" t="s">
        <v>23</v>
      </c>
      <c r="Z21" t="s">
        <v>23</v>
      </c>
      <c r="AM21">
        <f t="shared" si="0"/>
        <v>3</v>
      </c>
    </row>
    <row r="22" spans="1:39">
      <c r="A22" t="s">
        <v>265</v>
      </c>
      <c r="B22" t="s">
        <v>23</v>
      </c>
      <c r="C22">
        <f>AM22</f>
        <v>3</v>
      </c>
      <c r="T22" t="s">
        <v>23</v>
      </c>
      <c r="X22" t="s">
        <v>23</v>
      </c>
      <c r="Z22" t="s">
        <v>23</v>
      </c>
      <c r="AM22">
        <f t="shared" si="0"/>
        <v>3</v>
      </c>
    </row>
    <row r="23" spans="1:39">
      <c r="A23" t="s">
        <v>274</v>
      </c>
      <c r="B23" t="s">
        <v>23</v>
      </c>
      <c r="C23">
        <f>AM23</f>
        <v>3</v>
      </c>
      <c r="D23" t="s">
        <v>23</v>
      </c>
      <c r="E23" t="s">
        <v>23</v>
      </c>
      <c r="F23" t="s">
        <v>23</v>
      </c>
      <c r="AM23">
        <f t="shared" si="0"/>
        <v>3</v>
      </c>
    </row>
    <row r="24" spans="1:39">
      <c r="A24" t="s">
        <v>556</v>
      </c>
      <c r="C24">
        <f>AM24</f>
        <v>3</v>
      </c>
      <c r="E24" t="s">
        <v>23</v>
      </c>
      <c r="F24" t="s">
        <v>23</v>
      </c>
      <c r="H24" t="s">
        <v>23</v>
      </c>
      <c r="AM24">
        <f t="shared" si="0"/>
        <v>3</v>
      </c>
    </row>
    <row r="25" spans="1:39">
      <c r="A25" t="s">
        <v>276</v>
      </c>
      <c r="C25">
        <f>AM25</f>
        <v>0</v>
      </c>
      <c r="AM25">
        <f t="shared" si="0"/>
        <v>0</v>
      </c>
    </row>
    <row r="26" spans="1:39">
      <c r="A26" t="s">
        <v>284</v>
      </c>
      <c r="C26">
        <f>AM26</f>
        <v>0</v>
      </c>
      <c r="AM26">
        <f t="shared" si="0"/>
        <v>0</v>
      </c>
    </row>
    <row r="27" spans="1:39">
      <c r="A27" t="s">
        <v>285</v>
      </c>
      <c r="C27">
        <f>AM27</f>
        <v>0</v>
      </c>
      <c r="AM27">
        <f t="shared" si="0"/>
        <v>0</v>
      </c>
    </row>
    <row r="28" spans="1:39">
      <c r="A28" t="s">
        <v>326</v>
      </c>
      <c r="C28">
        <f>AM28</f>
        <v>0</v>
      </c>
      <c r="AM28">
        <f t="shared" si="0"/>
        <v>0</v>
      </c>
    </row>
    <row r="29" spans="1:39">
      <c r="A29" t="s">
        <v>372</v>
      </c>
      <c r="C29">
        <f>AM29</f>
        <v>0</v>
      </c>
      <c r="AM29">
        <f t="shared" si="0"/>
        <v>0</v>
      </c>
    </row>
    <row r="30" spans="1:39">
      <c r="A30" t="s">
        <v>373</v>
      </c>
      <c r="C30">
        <f>AM30</f>
        <v>0</v>
      </c>
      <c r="AM30">
        <f t="shared" si="0"/>
        <v>0</v>
      </c>
    </row>
    <row r="31" spans="1:39">
      <c r="A31" t="s">
        <v>444</v>
      </c>
      <c r="C31">
        <f>AM31</f>
        <v>0</v>
      </c>
      <c r="AM31">
        <f t="shared" si="0"/>
        <v>0</v>
      </c>
    </row>
    <row r="32" spans="1:39">
      <c r="A32" t="s">
        <v>531</v>
      </c>
      <c r="C32">
        <f t="shared" ref="C32:C34" si="2">AM32</f>
        <v>0</v>
      </c>
      <c r="AM32">
        <f t="shared" si="0"/>
        <v>0</v>
      </c>
    </row>
    <row r="33" spans="1:39">
      <c r="A33" t="s">
        <v>532</v>
      </c>
      <c r="C33">
        <f t="shared" si="2"/>
        <v>0</v>
      </c>
      <c r="AM33">
        <f t="shared" si="0"/>
        <v>0</v>
      </c>
    </row>
    <row r="34" spans="1:39">
      <c r="A34" t="s">
        <v>534</v>
      </c>
      <c r="C34">
        <f t="shared" si="2"/>
        <v>0</v>
      </c>
      <c r="AM34">
        <f t="shared" si="0"/>
        <v>0</v>
      </c>
    </row>
    <row r="35" spans="1:39">
      <c r="A35" t="s">
        <v>538</v>
      </c>
      <c r="C35">
        <f>AM35</f>
        <v>0</v>
      </c>
      <c r="AM35">
        <f t="shared" si="0"/>
        <v>0</v>
      </c>
    </row>
    <row r="36" spans="1:39">
      <c r="A36" t="s">
        <v>253</v>
      </c>
      <c r="C36">
        <f>AM36</f>
        <v>3</v>
      </c>
      <c r="E36" t="s">
        <v>23</v>
      </c>
      <c r="N36" t="s">
        <v>23</v>
      </c>
      <c r="V36" t="s">
        <v>23</v>
      </c>
      <c r="AM36">
        <f t="shared" si="0"/>
        <v>3</v>
      </c>
    </row>
    <row r="37" spans="1:39">
      <c r="A37" t="s">
        <v>251</v>
      </c>
      <c r="C37">
        <f>AM37</f>
        <v>5</v>
      </c>
      <c r="D37" t="s">
        <v>23</v>
      </c>
      <c r="H37" t="s">
        <v>23</v>
      </c>
      <c r="U37" t="s">
        <v>23</v>
      </c>
      <c r="W37" t="s">
        <v>23</v>
      </c>
      <c r="X37" t="s">
        <v>23</v>
      </c>
      <c r="AM37">
        <f t="shared" si="0"/>
        <v>5</v>
      </c>
    </row>
    <row r="38" spans="1:39">
      <c r="A38" t="s">
        <v>258</v>
      </c>
      <c r="C38">
        <f>AM38</f>
        <v>2</v>
      </c>
      <c r="U38" t="s">
        <v>23</v>
      </c>
      <c r="W38" t="s">
        <v>23</v>
      </c>
      <c r="AM38">
        <f t="shared" si="0"/>
        <v>2</v>
      </c>
    </row>
    <row r="39" spans="1:39">
      <c r="A39" s="15" t="s">
        <v>558</v>
      </c>
      <c r="C39">
        <f>AM39</f>
        <v>3</v>
      </c>
      <c r="L39" t="s">
        <v>23</v>
      </c>
      <c r="AA39" t="s">
        <v>23</v>
      </c>
      <c r="AB39" t="s">
        <v>23</v>
      </c>
      <c r="AM39">
        <f t="shared" si="0"/>
        <v>3</v>
      </c>
    </row>
    <row r="40" spans="1:39">
      <c r="D40">
        <f>COUNTIF(D3:D39,"oui")</f>
        <v>2</v>
      </c>
      <c r="E40">
        <f>COUNTIF(E3:E39,"oui")</f>
        <v>3</v>
      </c>
      <c r="F40">
        <f>COUNTIF(F3:F39,"oui")</f>
        <v>5</v>
      </c>
      <c r="G40">
        <f>COUNTIF(G3:G39,"oui")</f>
        <v>0</v>
      </c>
      <c r="H40">
        <f>COUNTIF(H3:H39,"oui")</f>
        <v>6</v>
      </c>
      <c r="I40">
        <f>COUNTIF(I3:I39,"oui")</f>
        <v>1</v>
      </c>
      <c r="J40">
        <f>COUNTIF(J3:J39,"oui")</f>
        <v>0</v>
      </c>
      <c r="K40">
        <f>COUNTIF(K3:K39,"oui")</f>
        <v>0</v>
      </c>
      <c r="L40">
        <f>COUNTIF(L3:L39,"oui")</f>
        <v>1</v>
      </c>
      <c r="M40">
        <f>COUNTIF(M3:M39,"oui")</f>
        <v>1</v>
      </c>
      <c r="N40">
        <f>COUNTIF(N3:N39,"oui")</f>
        <v>1</v>
      </c>
      <c r="O40">
        <f>COUNTIF(O3:O39,"oui")</f>
        <v>0</v>
      </c>
      <c r="P40">
        <f>COUNTIF(P3:P39,"oui")</f>
        <v>0</v>
      </c>
      <c r="Q40">
        <f>COUNTIF(Q3:Q39,"oui")</f>
        <v>0</v>
      </c>
      <c r="R40">
        <f>COUNTIF(R3:R39,"oui")</f>
        <v>2</v>
      </c>
      <c r="S40">
        <f>COUNTIF(S3:S39,"oui")</f>
        <v>4</v>
      </c>
      <c r="T40">
        <f>COUNTIF(T3:T39,"oui")</f>
        <v>6</v>
      </c>
      <c r="U40">
        <f>COUNTIF(U3:U39,"oui")</f>
        <v>5</v>
      </c>
      <c r="V40">
        <f>COUNTIF(V3:V39,"oui")</f>
        <v>7</v>
      </c>
      <c r="W40">
        <f>COUNTIF(W3:W39,"oui")</f>
        <v>8</v>
      </c>
      <c r="X40">
        <f>COUNTIF(X3:X39,"oui")</f>
        <v>5</v>
      </c>
      <c r="Y40">
        <f>COUNTIF(Y3:Y39,"oui")</f>
        <v>4</v>
      </c>
      <c r="Z40">
        <f>COUNTIF(Z3:Z39,"oui")</f>
        <v>6</v>
      </c>
      <c r="AA40">
        <f>COUNTIF(AA3:AA39,"oui")</f>
        <v>4</v>
      </c>
      <c r="AB40">
        <f>COUNTIF(AB3:AB39,"oui")</f>
        <v>3</v>
      </c>
      <c r="AC40">
        <f>COUNTIF(AC3:AC39,"oui")</f>
        <v>0</v>
      </c>
      <c r="AD40">
        <f>COUNTIF(AD3:AD39,"oui")</f>
        <v>1</v>
      </c>
      <c r="AE40">
        <f>COUNTIF(AE3:AE39,"oui")</f>
        <v>0</v>
      </c>
      <c r="AF40">
        <f>COUNTIF(AF3:AF39,"oui")</f>
        <v>0</v>
      </c>
      <c r="AG40">
        <f>COUNTIF(AG3:AG39,"oui")</f>
        <v>1</v>
      </c>
      <c r="AH40">
        <f>COUNTIF(AH3:AH39,"oui")</f>
        <v>0</v>
      </c>
      <c r="AI40">
        <f>COUNTIF(AI3:AI39,"oui")</f>
        <v>0</v>
      </c>
      <c r="AJ40">
        <f>COUNTIF(AJ3:AJ39,"oui")</f>
        <v>0</v>
      </c>
      <c r="AK40">
        <f>COUNTIF(AK3:AK39,"oui")</f>
        <v>0</v>
      </c>
      <c r="AL40">
        <f>COUNTIF(AL3:AL39,"oui")</f>
        <v>0</v>
      </c>
      <c r="AM40">
        <f t="shared" ref="AM40" si="3">COUNTIF(D40:AL40,"oui")</f>
        <v>0</v>
      </c>
    </row>
  </sheetData>
  <mergeCells count="9">
    <mergeCell ref="AA1:AD1"/>
    <mergeCell ref="AE1:AG1"/>
    <mergeCell ref="AH1:AL1"/>
    <mergeCell ref="D1:H1"/>
    <mergeCell ref="I1:L1"/>
    <mergeCell ref="M1:Q1"/>
    <mergeCell ref="R1:T1"/>
    <mergeCell ref="U1:W1"/>
    <mergeCell ref="X1:Z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4E647E6-7912-4287-960C-05CCEF9DCB51}">
          <x14:formula1>
            <xm:f>src!$I$2:$I$3</xm:f>
          </x14:formula1>
          <xm:sqref>D3:AL20 D21:E21 G21:AL21 D22:AL39</xm:sqref>
        </x14:dataValidation>
        <x14:dataValidation type="list" allowBlank="1" showInputMessage="1" showErrorMessage="1" xr:uid="{699E3C46-8D4D-419D-B376-6132B67F224B}">
          <x14:formula1>
            <xm:f>src!$H$2:$H$3</xm:f>
          </x14:formula1>
          <xm:sqref>B2:B40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91243-8C33-4A50-B0F4-550AD731082D}">
  <sheetPr>
    <pageSetUpPr fitToPage="1"/>
  </sheetPr>
  <dimension ref="A1:AN37"/>
  <sheetViews>
    <sheetView workbookViewId="0">
      <pane xSplit="1" topLeftCell="X15" activePane="topRight" state="frozen"/>
      <selection pane="topRight" activeCell="Z15" sqref="Z15"/>
    </sheetView>
  </sheetViews>
  <sheetFormatPr defaultRowHeight="15"/>
  <cols>
    <col min="1" max="1" width="30.7109375" bestFit="1" customWidth="1"/>
    <col min="2" max="2" width="30.28515625" customWidth="1"/>
    <col min="3" max="3" width="14.42578125" customWidth="1"/>
  </cols>
  <sheetData>
    <row r="1" spans="1:39" s="10" customFormat="1" ht="29.25" customHeight="1">
      <c r="D1" s="20" t="s">
        <v>641</v>
      </c>
      <c r="E1" s="20"/>
      <c r="F1" s="20"/>
      <c r="G1" s="20"/>
      <c r="H1" s="20"/>
      <c r="I1" s="20" t="s">
        <v>642</v>
      </c>
      <c r="J1" s="20"/>
      <c r="K1" s="20"/>
      <c r="L1" s="20"/>
      <c r="M1" s="20" t="s">
        <v>643</v>
      </c>
      <c r="N1" s="20"/>
      <c r="O1" s="20"/>
      <c r="P1" s="20"/>
      <c r="Q1" s="20"/>
      <c r="R1" s="20" t="s">
        <v>644</v>
      </c>
      <c r="S1" s="20"/>
      <c r="T1" s="20"/>
      <c r="U1" s="20" t="s">
        <v>645</v>
      </c>
      <c r="V1" s="20"/>
      <c r="W1" s="20"/>
      <c r="X1" s="21" t="s">
        <v>646</v>
      </c>
      <c r="Y1" s="21"/>
      <c r="Z1" s="21"/>
      <c r="AA1" s="20" t="s">
        <v>647</v>
      </c>
      <c r="AB1" s="20"/>
      <c r="AC1" s="20"/>
      <c r="AD1" s="20"/>
      <c r="AE1" s="20" t="s">
        <v>648</v>
      </c>
      <c r="AF1" s="20"/>
      <c r="AG1" s="20"/>
      <c r="AH1" s="21" t="s">
        <v>649</v>
      </c>
      <c r="AI1" s="21"/>
      <c r="AJ1" s="21"/>
      <c r="AK1" s="21"/>
      <c r="AL1" s="21"/>
    </row>
    <row r="2" spans="1:39">
      <c r="A2" s="2" t="s">
        <v>650</v>
      </c>
      <c r="B2" s="2" t="s">
        <v>651</v>
      </c>
      <c r="C2" s="2" t="s">
        <v>652</v>
      </c>
      <c r="D2" s="2" t="s">
        <v>653</v>
      </c>
      <c r="E2" s="2" t="s">
        <v>654</v>
      </c>
      <c r="F2" s="2" t="s">
        <v>655</v>
      </c>
      <c r="G2" s="2" t="s">
        <v>656</v>
      </c>
      <c r="H2" s="2" t="s">
        <v>657</v>
      </c>
      <c r="I2" s="2" t="s">
        <v>658</v>
      </c>
      <c r="J2" s="2" t="s">
        <v>659</v>
      </c>
      <c r="K2" s="2" t="s">
        <v>660</v>
      </c>
      <c r="L2" s="2" t="s">
        <v>661</v>
      </c>
      <c r="M2" s="2" t="s">
        <v>662</v>
      </c>
      <c r="N2" s="2" t="s">
        <v>663</v>
      </c>
      <c r="O2" s="2" t="s">
        <v>664</v>
      </c>
      <c r="P2" s="2" t="s">
        <v>665</v>
      </c>
      <c r="Q2" s="2" t="s">
        <v>666</v>
      </c>
      <c r="R2" s="2" t="s">
        <v>667</v>
      </c>
      <c r="S2" s="2" t="s">
        <v>668</v>
      </c>
      <c r="T2" s="2" t="s">
        <v>669</v>
      </c>
      <c r="U2" s="2" t="s">
        <v>670</v>
      </c>
      <c r="V2" s="2" t="s">
        <v>671</v>
      </c>
      <c r="W2" s="2" t="s">
        <v>672</v>
      </c>
      <c r="X2" s="2" t="s">
        <v>673</v>
      </c>
      <c r="Y2" s="2" t="s">
        <v>674</v>
      </c>
      <c r="Z2" s="2" t="s">
        <v>675</v>
      </c>
      <c r="AA2" s="2" t="s">
        <v>676</v>
      </c>
      <c r="AB2" s="2" t="s">
        <v>677</v>
      </c>
      <c r="AC2" s="2" t="s">
        <v>678</v>
      </c>
      <c r="AD2" s="2" t="s">
        <v>679</v>
      </c>
      <c r="AE2" s="2" t="s">
        <v>680</v>
      </c>
      <c r="AF2" s="2" t="s">
        <v>681</v>
      </c>
      <c r="AG2" s="2" t="s">
        <v>682</v>
      </c>
      <c r="AH2" s="2" t="s">
        <v>683</v>
      </c>
      <c r="AI2" s="2" t="s">
        <v>684</v>
      </c>
      <c r="AJ2" s="2" t="s">
        <v>685</v>
      </c>
      <c r="AK2" s="2" t="s">
        <v>686</v>
      </c>
      <c r="AL2" s="2" t="s">
        <v>687</v>
      </c>
    </row>
    <row r="3" spans="1:39">
      <c r="A3" t="s">
        <v>693</v>
      </c>
      <c r="B3" t="s">
        <v>23</v>
      </c>
      <c r="C3">
        <f>AM3</f>
        <v>3</v>
      </c>
      <c r="H3" t="s">
        <v>23</v>
      </c>
      <c r="U3" t="s">
        <v>23</v>
      </c>
      <c r="AA3" t="s">
        <v>23</v>
      </c>
      <c r="AM3">
        <f>COUNTIF(D3:AL3,"oui")</f>
        <v>3</v>
      </c>
    </row>
    <row r="4" spans="1:39">
      <c r="A4" t="s">
        <v>202</v>
      </c>
    </row>
    <row r="5" spans="1:39">
      <c r="A5" t="s">
        <v>204</v>
      </c>
    </row>
    <row r="6" spans="1:39">
      <c r="A6" t="s">
        <v>205</v>
      </c>
      <c r="B6" t="s">
        <v>23</v>
      </c>
      <c r="C6">
        <f>AM6</f>
        <v>3</v>
      </c>
      <c r="U6" t="s">
        <v>23</v>
      </c>
      <c r="X6" t="s">
        <v>23</v>
      </c>
      <c r="Y6" t="s">
        <v>23</v>
      </c>
      <c r="AM6">
        <f t="shared" ref="AM6:AM36" si="0">COUNTIF(D6:AL6,"oui")</f>
        <v>3</v>
      </c>
    </row>
    <row r="7" spans="1:39">
      <c r="A7" t="s">
        <v>177</v>
      </c>
      <c r="B7" t="s">
        <v>23</v>
      </c>
      <c r="C7">
        <f>AM7</f>
        <v>3</v>
      </c>
      <c r="U7" t="s">
        <v>23</v>
      </c>
      <c r="V7" t="s">
        <v>23</v>
      </c>
      <c r="W7" t="s">
        <v>23</v>
      </c>
      <c r="AM7">
        <f t="shared" si="0"/>
        <v>3</v>
      </c>
    </row>
    <row r="8" spans="1:39">
      <c r="A8" t="s">
        <v>190</v>
      </c>
      <c r="B8" t="s">
        <v>23</v>
      </c>
      <c r="C8">
        <f>AM8</f>
        <v>3</v>
      </c>
      <c r="G8" t="s">
        <v>23</v>
      </c>
      <c r="I8" t="s">
        <v>23</v>
      </c>
      <c r="K8" t="s">
        <v>23</v>
      </c>
      <c r="M8" t="s">
        <v>70</v>
      </c>
      <c r="X8" t="s">
        <v>70</v>
      </c>
      <c r="Y8" t="s">
        <v>70</v>
      </c>
      <c r="AM8">
        <f t="shared" si="0"/>
        <v>3</v>
      </c>
    </row>
    <row r="9" spans="1:39">
      <c r="A9" t="s">
        <v>196</v>
      </c>
      <c r="B9" t="s">
        <v>23</v>
      </c>
      <c r="C9">
        <f>AM9</f>
        <v>3</v>
      </c>
      <c r="AE9" t="s">
        <v>23</v>
      </c>
      <c r="AH9" t="s">
        <v>23</v>
      </c>
      <c r="AJ9" t="s">
        <v>23</v>
      </c>
      <c r="AM9">
        <f t="shared" si="0"/>
        <v>3</v>
      </c>
    </row>
    <row r="10" spans="1:39">
      <c r="A10" t="s">
        <v>139</v>
      </c>
      <c r="B10" t="s">
        <v>23</v>
      </c>
      <c r="C10">
        <f>AM10</f>
        <v>3</v>
      </c>
      <c r="D10" t="s">
        <v>23</v>
      </c>
      <c r="X10" t="s">
        <v>23</v>
      </c>
      <c r="Y10" t="s">
        <v>23</v>
      </c>
      <c r="AM10">
        <f t="shared" si="0"/>
        <v>3</v>
      </c>
    </row>
    <row r="11" spans="1:39">
      <c r="A11" t="s">
        <v>155</v>
      </c>
      <c r="B11" t="s">
        <v>23</v>
      </c>
      <c r="C11">
        <f>AM11</f>
        <v>3</v>
      </c>
      <c r="E11" t="s">
        <v>23</v>
      </c>
      <c r="Q11" t="s">
        <v>23</v>
      </c>
      <c r="U11" t="s">
        <v>23</v>
      </c>
      <c r="V11" t="s">
        <v>70</v>
      </c>
      <c r="AM11">
        <f t="shared" si="0"/>
        <v>3</v>
      </c>
    </row>
    <row r="12" spans="1:39">
      <c r="A12" t="s">
        <v>618</v>
      </c>
      <c r="B12" t="s">
        <v>23</v>
      </c>
      <c r="C12">
        <f>AM12</f>
        <v>3</v>
      </c>
      <c r="E12" t="s">
        <v>23</v>
      </c>
      <c r="G12" t="s">
        <v>70</v>
      </c>
      <c r="H12" t="s">
        <v>70</v>
      </c>
      <c r="N12" t="s">
        <v>23</v>
      </c>
      <c r="V12" t="s">
        <v>23</v>
      </c>
      <c r="AM12" s="14">
        <f t="shared" si="0"/>
        <v>3</v>
      </c>
    </row>
    <row r="13" spans="1:39">
      <c r="A13" t="s">
        <v>164</v>
      </c>
      <c r="B13" t="s">
        <v>23</v>
      </c>
      <c r="C13">
        <f>AM13</f>
        <v>4</v>
      </c>
      <c r="F13" t="s">
        <v>23</v>
      </c>
      <c r="H13" t="s">
        <v>23</v>
      </c>
      <c r="R13" t="s">
        <v>23</v>
      </c>
      <c r="Z13" t="s">
        <v>23</v>
      </c>
      <c r="AM13">
        <f t="shared" si="0"/>
        <v>4</v>
      </c>
    </row>
    <row r="14" spans="1:39">
      <c r="A14" t="s">
        <v>167</v>
      </c>
      <c r="B14" t="s">
        <v>23</v>
      </c>
      <c r="C14">
        <f>AM14</f>
        <v>3</v>
      </c>
      <c r="H14" t="s">
        <v>23</v>
      </c>
      <c r="U14" t="s">
        <v>70</v>
      </c>
      <c r="X14" t="s">
        <v>23</v>
      </c>
      <c r="AA14" t="s">
        <v>23</v>
      </c>
      <c r="AM14">
        <f t="shared" si="0"/>
        <v>3</v>
      </c>
    </row>
    <row r="15" spans="1:39">
      <c r="A15" t="s">
        <v>169</v>
      </c>
      <c r="B15" t="s">
        <v>23</v>
      </c>
      <c r="C15">
        <f>AM15</f>
        <v>3</v>
      </c>
      <c r="D15" t="s">
        <v>23</v>
      </c>
      <c r="V15" t="s">
        <v>23</v>
      </c>
      <c r="W15" t="s">
        <v>23</v>
      </c>
      <c r="AM15">
        <f t="shared" si="0"/>
        <v>3</v>
      </c>
    </row>
    <row r="16" spans="1:39">
      <c r="A16" t="s">
        <v>58</v>
      </c>
      <c r="B16" t="s">
        <v>23</v>
      </c>
      <c r="C16">
        <f>AM16</f>
        <v>3</v>
      </c>
      <c r="G16" t="s">
        <v>23</v>
      </c>
      <c r="O16" t="s">
        <v>23</v>
      </c>
      <c r="W16" t="s">
        <v>23</v>
      </c>
      <c r="AM16">
        <f t="shared" si="0"/>
        <v>3</v>
      </c>
    </row>
    <row r="17" spans="1:39">
      <c r="A17" t="s">
        <v>694</v>
      </c>
      <c r="B17" t="s">
        <v>23</v>
      </c>
      <c r="C17">
        <f>AM17</f>
        <v>3</v>
      </c>
      <c r="S17" t="s">
        <v>23</v>
      </c>
      <c r="U17" t="s">
        <v>23</v>
      </c>
      <c r="X17" t="s">
        <v>23</v>
      </c>
      <c r="AM17">
        <f t="shared" si="0"/>
        <v>3</v>
      </c>
    </row>
    <row r="18" spans="1:39">
      <c r="A18" t="s">
        <v>79</v>
      </c>
      <c r="B18" t="s">
        <v>23</v>
      </c>
      <c r="C18">
        <f>AM18</f>
        <v>3</v>
      </c>
      <c r="H18" t="s">
        <v>70</v>
      </c>
      <c r="N18" t="s">
        <v>23</v>
      </c>
      <c r="V18" t="s">
        <v>23</v>
      </c>
      <c r="X18" t="s">
        <v>23</v>
      </c>
      <c r="AM18">
        <f t="shared" si="0"/>
        <v>3</v>
      </c>
    </row>
    <row r="19" spans="1:39">
      <c r="A19" t="s">
        <v>182</v>
      </c>
      <c r="B19" t="s">
        <v>23</v>
      </c>
      <c r="C19">
        <f>AM19</f>
        <v>3</v>
      </c>
      <c r="O19" t="s">
        <v>23</v>
      </c>
      <c r="V19" t="s">
        <v>23</v>
      </c>
      <c r="W19" t="s">
        <v>70</v>
      </c>
      <c r="Z19" t="s">
        <v>23</v>
      </c>
      <c r="AM19">
        <f t="shared" si="0"/>
        <v>3</v>
      </c>
    </row>
    <row r="20" spans="1:39">
      <c r="A20" t="s">
        <v>150</v>
      </c>
      <c r="B20" t="s">
        <v>23</v>
      </c>
      <c r="C20">
        <f>AM20</f>
        <v>3</v>
      </c>
      <c r="U20" t="s">
        <v>23</v>
      </c>
      <c r="V20" t="s">
        <v>23</v>
      </c>
      <c r="W20" t="s">
        <v>23</v>
      </c>
      <c r="AM20">
        <f t="shared" si="0"/>
        <v>3</v>
      </c>
    </row>
    <row r="21" spans="1:39">
      <c r="A21" t="s">
        <v>175</v>
      </c>
      <c r="B21" t="s">
        <v>23</v>
      </c>
      <c r="C21">
        <f>AM21</f>
        <v>3</v>
      </c>
      <c r="AA21" t="s">
        <v>23</v>
      </c>
      <c r="AB21" t="s">
        <v>23</v>
      </c>
      <c r="AG21" t="s">
        <v>23</v>
      </c>
      <c r="AM21">
        <f t="shared" si="0"/>
        <v>3</v>
      </c>
    </row>
    <row r="22" spans="1:39">
      <c r="A22" s="2" t="s">
        <v>550</v>
      </c>
      <c r="B22" t="s">
        <v>23</v>
      </c>
      <c r="C22">
        <f>AM22</f>
        <v>3</v>
      </c>
      <c r="G22" t="s">
        <v>70</v>
      </c>
      <c r="M22" t="s">
        <v>23</v>
      </c>
      <c r="N22" t="s">
        <v>23</v>
      </c>
      <c r="O22" t="s">
        <v>23</v>
      </c>
      <c r="P22" t="s">
        <v>70</v>
      </c>
      <c r="AM22">
        <f t="shared" si="0"/>
        <v>3</v>
      </c>
    </row>
    <row r="23" spans="1:39">
      <c r="A23" s="17" t="s">
        <v>208</v>
      </c>
      <c r="B23" s="17" t="s">
        <v>23</v>
      </c>
      <c r="C23">
        <f>AM23</f>
        <v>3</v>
      </c>
      <c r="D23" t="s">
        <v>23</v>
      </c>
      <c r="F23" t="s">
        <v>23</v>
      </c>
      <c r="AA23" t="s">
        <v>23</v>
      </c>
      <c r="AM23">
        <f t="shared" si="0"/>
        <v>3</v>
      </c>
    </row>
    <row r="24" spans="1:39">
      <c r="A24" s="17" t="s">
        <v>193</v>
      </c>
      <c r="B24" s="17" t="s">
        <v>23</v>
      </c>
      <c r="C24">
        <f>AM24</f>
        <v>3</v>
      </c>
      <c r="M24" t="s">
        <v>23</v>
      </c>
      <c r="O24" t="s">
        <v>23</v>
      </c>
      <c r="AD24" t="s">
        <v>23</v>
      </c>
      <c r="AM24">
        <f t="shared" si="0"/>
        <v>3</v>
      </c>
    </row>
    <row r="25" spans="1:39" s="8" customFormat="1">
      <c r="A25" s="17" t="s">
        <v>143</v>
      </c>
      <c r="B25" s="17" t="s">
        <v>23</v>
      </c>
      <c r="C25">
        <f>AM25</f>
        <v>3</v>
      </c>
      <c r="D25"/>
      <c r="E25"/>
      <c r="F25"/>
      <c r="G25"/>
      <c r="H25" t="s">
        <v>23</v>
      </c>
      <c r="I25"/>
      <c r="J25"/>
      <c r="K25"/>
      <c r="L25"/>
      <c r="M25"/>
      <c r="N25"/>
      <c r="O25"/>
      <c r="P25"/>
      <c r="Q25"/>
      <c r="R25"/>
      <c r="S25"/>
      <c r="T25"/>
      <c r="U25" t="s">
        <v>23</v>
      </c>
      <c r="V25"/>
      <c r="W25" t="s">
        <v>23</v>
      </c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 s="8">
        <f t="shared" si="0"/>
        <v>3</v>
      </c>
    </row>
    <row r="26" spans="1:39">
      <c r="A26" s="17" t="s">
        <v>695</v>
      </c>
      <c r="B26" s="17" t="s">
        <v>23</v>
      </c>
      <c r="C26">
        <f>AM26</f>
        <v>3</v>
      </c>
      <c r="D26" t="s">
        <v>23</v>
      </c>
      <c r="H26" t="s">
        <v>23</v>
      </c>
      <c r="R26" t="s">
        <v>23</v>
      </c>
      <c r="AM26">
        <f t="shared" si="0"/>
        <v>3</v>
      </c>
    </row>
    <row r="27" spans="1:39">
      <c r="A27" s="17" t="s">
        <v>696</v>
      </c>
      <c r="B27" s="17" t="s">
        <v>23</v>
      </c>
      <c r="C27">
        <f>AM27</f>
        <v>3</v>
      </c>
      <c r="D27" t="s">
        <v>23</v>
      </c>
      <c r="H27" t="s">
        <v>23</v>
      </c>
      <c r="R27" t="s">
        <v>23</v>
      </c>
      <c r="AM27">
        <f t="shared" si="0"/>
        <v>3</v>
      </c>
    </row>
    <row r="28" spans="1:39" s="8" customFormat="1">
      <c r="A28" s="17" t="s">
        <v>171</v>
      </c>
      <c r="B28" s="17" t="s">
        <v>23</v>
      </c>
      <c r="C28">
        <f>AM28</f>
        <v>3</v>
      </c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 t="s">
        <v>23</v>
      </c>
      <c r="S28"/>
      <c r="T28"/>
      <c r="U28" t="s">
        <v>70</v>
      </c>
      <c r="V28"/>
      <c r="W28"/>
      <c r="X28"/>
      <c r="Y28"/>
      <c r="Z28"/>
      <c r="AA28" t="s">
        <v>23</v>
      </c>
      <c r="AB28" t="s">
        <v>23</v>
      </c>
      <c r="AC28"/>
      <c r="AD28"/>
      <c r="AE28"/>
      <c r="AF28"/>
      <c r="AG28"/>
      <c r="AH28"/>
      <c r="AI28"/>
      <c r="AJ28"/>
      <c r="AK28"/>
      <c r="AL28"/>
      <c r="AM28" s="8">
        <f t="shared" si="0"/>
        <v>3</v>
      </c>
    </row>
    <row r="29" spans="1:39" s="8" customFormat="1">
      <c r="A29" s="17" t="s">
        <v>210</v>
      </c>
      <c r="B29" s="17" t="s">
        <v>23</v>
      </c>
      <c r="C29">
        <f>AM29</f>
        <v>3</v>
      </c>
      <c r="D29"/>
      <c r="E29"/>
      <c r="F29"/>
      <c r="G29"/>
      <c r="H29"/>
      <c r="I29"/>
      <c r="J29"/>
      <c r="K29"/>
      <c r="L29"/>
      <c r="M29" t="s">
        <v>23</v>
      </c>
      <c r="N29"/>
      <c r="O29"/>
      <c r="P29" t="s">
        <v>23</v>
      </c>
      <c r="Q29"/>
      <c r="R29"/>
      <c r="S29"/>
      <c r="T29"/>
      <c r="U29"/>
      <c r="V29"/>
      <c r="W29"/>
      <c r="X29" t="s">
        <v>23</v>
      </c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 s="8">
        <f t="shared" si="0"/>
        <v>3</v>
      </c>
    </row>
    <row r="30" spans="1:39">
      <c r="A30" s="17" t="s">
        <v>261</v>
      </c>
      <c r="B30" s="17" t="s">
        <v>23</v>
      </c>
      <c r="C30">
        <f>AM30</f>
        <v>3</v>
      </c>
      <c r="J30" t="s">
        <v>23</v>
      </c>
      <c r="L30" t="s">
        <v>23</v>
      </c>
      <c r="O30" t="s">
        <v>23</v>
      </c>
      <c r="AM30">
        <f t="shared" si="0"/>
        <v>3</v>
      </c>
    </row>
    <row r="31" spans="1:39">
      <c r="A31" s="17" t="s">
        <v>697</v>
      </c>
      <c r="B31" s="17" t="s">
        <v>23</v>
      </c>
      <c r="C31">
        <f>AM31</f>
        <v>3</v>
      </c>
      <c r="D31" t="s">
        <v>70</v>
      </c>
      <c r="F31" t="s">
        <v>23</v>
      </c>
      <c r="H31" t="s">
        <v>70</v>
      </c>
      <c r="T31" t="s">
        <v>23</v>
      </c>
      <c r="AG31" t="s">
        <v>23</v>
      </c>
      <c r="AM31">
        <f t="shared" si="0"/>
        <v>3</v>
      </c>
    </row>
    <row r="32" spans="1:39" s="8" customFormat="1">
      <c r="A32" s="17" t="s">
        <v>173</v>
      </c>
      <c r="B32" s="17" t="s">
        <v>23</v>
      </c>
      <c r="C32">
        <f>AM32</f>
        <v>3</v>
      </c>
      <c r="D32"/>
      <c r="E32"/>
      <c r="F32" t="s">
        <v>23</v>
      </c>
      <c r="G32"/>
      <c r="H32" t="s">
        <v>23</v>
      </c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 t="s">
        <v>23</v>
      </c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 s="8">
        <f t="shared" si="0"/>
        <v>3</v>
      </c>
    </row>
    <row r="33" spans="1:40">
      <c r="A33" s="17" t="s">
        <v>200</v>
      </c>
      <c r="B33" s="17" t="s">
        <v>23</v>
      </c>
      <c r="C33">
        <f>AM33</f>
        <v>4</v>
      </c>
      <c r="J33" t="s">
        <v>23</v>
      </c>
      <c r="R33" t="s">
        <v>70</v>
      </c>
      <c r="S33" t="s">
        <v>23</v>
      </c>
      <c r="AA33" t="s">
        <v>70</v>
      </c>
      <c r="AF33" t="s">
        <v>23</v>
      </c>
      <c r="AG33" t="s">
        <v>23</v>
      </c>
      <c r="AM33">
        <f t="shared" si="0"/>
        <v>4</v>
      </c>
    </row>
    <row r="34" spans="1:40">
      <c r="A34" s="17" t="s">
        <v>213</v>
      </c>
      <c r="B34" s="17" t="s">
        <v>23</v>
      </c>
      <c r="C34">
        <f>AM34</f>
        <v>3</v>
      </c>
      <c r="M34" t="s">
        <v>23</v>
      </c>
      <c r="R34" t="s">
        <v>70</v>
      </c>
      <c r="AA34" t="s">
        <v>23</v>
      </c>
      <c r="AC34" t="s">
        <v>23</v>
      </c>
      <c r="AM34">
        <f t="shared" si="0"/>
        <v>3</v>
      </c>
    </row>
    <row r="35" spans="1:40">
      <c r="A35" s="17" t="s">
        <v>369</v>
      </c>
      <c r="B35" s="17" t="s">
        <v>25</v>
      </c>
      <c r="C35">
        <f>AM35</f>
        <v>3</v>
      </c>
      <c r="M35" t="s">
        <v>23</v>
      </c>
      <c r="O35" t="s">
        <v>23</v>
      </c>
      <c r="AF35" t="s">
        <v>23</v>
      </c>
      <c r="AM35">
        <f t="shared" si="0"/>
        <v>3</v>
      </c>
    </row>
    <row r="36" spans="1:40">
      <c r="D36">
        <f>COUNTIF(D3:D35,"oui")</f>
        <v>5</v>
      </c>
      <c r="E36">
        <f>COUNTIF(E3:E35,"oui")</f>
        <v>2</v>
      </c>
      <c r="F36">
        <f>COUNTIF(F3:F35,"oui")</f>
        <v>4</v>
      </c>
      <c r="G36">
        <f>COUNTIF(G3:G35,"oui")</f>
        <v>2</v>
      </c>
      <c r="H36">
        <f>COUNTIF(H3:H35,"oui")</f>
        <v>7</v>
      </c>
      <c r="I36">
        <f>COUNTIF(I3:I35,"oui")</f>
        <v>1</v>
      </c>
      <c r="J36">
        <f>COUNTIF(J3:J35,"oui")</f>
        <v>2</v>
      </c>
      <c r="K36">
        <f>COUNTIF(K3:K35,"oui")</f>
        <v>1</v>
      </c>
      <c r="L36">
        <f>COUNTIF(L3:L35,"oui")</f>
        <v>1</v>
      </c>
      <c r="M36">
        <f>COUNTIF(M3:M35,"oui")</f>
        <v>5</v>
      </c>
      <c r="N36">
        <f>COUNTIF(N3:N35,"oui")</f>
        <v>3</v>
      </c>
      <c r="O36">
        <f>COUNTIF(O3:O35,"oui")</f>
        <v>6</v>
      </c>
      <c r="P36">
        <f>COUNTIF(P3:P35,"oui")</f>
        <v>1</v>
      </c>
      <c r="Q36">
        <f>COUNTIF(Q3:Q35,"oui")</f>
        <v>1</v>
      </c>
      <c r="R36">
        <f>COUNTIF(R3:R35,"oui")</f>
        <v>4</v>
      </c>
      <c r="S36">
        <f>COUNTIF(S3:S35,"oui")</f>
        <v>2</v>
      </c>
      <c r="T36">
        <f>COUNTIF(T3:T35,"oui")</f>
        <v>1</v>
      </c>
      <c r="U36">
        <f>COUNTIF(U3:U35,"oui")</f>
        <v>7</v>
      </c>
      <c r="V36">
        <f>COUNTIF(V3:V35,"oui")</f>
        <v>6</v>
      </c>
      <c r="W36">
        <f>COUNTIF(W3:W35,"oui")</f>
        <v>6</v>
      </c>
      <c r="X36">
        <f>COUNTIF(X3:X35,"oui")</f>
        <v>6</v>
      </c>
      <c r="Y36">
        <f>COUNTIF(Y3:Y35,"oui")</f>
        <v>2</v>
      </c>
      <c r="Z36">
        <f>COUNTIF(Z3:Z35,"oui")</f>
        <v>2</v>
      </c>
      <c r="AA36">
        <f>COUNTIF(AA3:AA35,"oui")</f>
        <v>6</v>
      </c>
      <c r="AB36">
        <f>COUNTIF(AB3:AB35,"oui")</f>
        <v>2</v>
      </c>
      <c r="AC36">
        <f>COUNTIF(AC3:AC35,"oui")</f>
        <v>1</v>
      </c>
      <c r="AD36">
        <f>COUNTIF(AD3:AD35,"oui")</f>
        <v>1</v>
      </c>
      <c r="AE36">
        <f>COUNTIF(AE3:AE35,"oui")</f>
        <v>1</v>
      </c>
      <c r="AF36">
        <f>COUNTIF(AF3:AF35,"oui")</f>
        <v>2</v>
      </c>
      <c r="AG36">
        <f>COUNTIF(AG3:AG35,"oui")</f>
        <v>3</v>
      </c>
      <c r="AH36">
        <f>COUNTIF(AH3:AH35,"oui")</f>
        <v>1</v>
      </c>
      <c r="AI36">
        <f>COUNTIF(AI3:AI35,"oui")</f>
        <v>0</v>
      </c>
      <c r="AJ36">
        <f>COUNTIF(AJ3:AJ35,"oui")</f>
        <v>1</v>
      </c>
      <c r="AK36">
        <f>COUNTIF(AK3:AK35,"oui")</f>
        <v>0</v>
      </c>
      <c r="AL36">
        <f>COUNTIF(AL3:AL35,"oui")</f>
        <v>0</v>
      </c>
      <c r="AM36">
        <f t="shared" si="0"/>
        <v>0</v>
      </c>
      <c r="AN36">
        <f>COUNTIF(D36:AL36,0)</f>
        <v>3</v>
      </c>
    </row>
    <row r="37" spans="1:40">
      <c r="A37" s="8"/>
    </row>
  </sheetData>
  <mergeCells count="9">
    <mergeCell ref="AA1:AD1"/>
    <mergeCell ref="AE1:AG1"/>
    <mergeCell ref="AH1:AL1"/>
    <mergeCell ref="D1:H1"/>
    <mergeCell ref="I1:L1"/>
    <mergeCell ref="M1:Q1"/>
    <mergeCell ref="R1:T1"/>
    <mergeCell ref="U1:W1"/>
    <mergeCell ref="X1:Z1"/>
  </mergeCells>
  <dataValidations count="1">
    <dataValidation allowBlank="1" showInputMessage="1" showErrorMessage="1" sqref="B10" xr:uid="{C0DB59BE-7177-435A-9D29-3F65F9EC8478}"/>
  </dataValidations>
  <pageMargins left="0.7" right="0.7" top="0.75" bottom="0.75" header="0.3" footer="0.3"/>
  <pageSetup paperSize="8" fitToHeight="0" orientation="landscape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2EE58F7-81EE-4D73-BE38-A3929F374E78}">
          <x14:formula1>
            <xm:f>src!$H$2:$H$3</xm:f>
          </x14:formula1>
          <xm:sqref>B2:B9 B11:B1048576</xm:sqref>
        </x14:dataValidation>
        <x14:dataValidation type="list" allowBlank="1" showInputMessage="1" showErrorMessage="1" xr:uid="{1E321746-C18B-43EF-BC2D-0E5DCF2C3A95}">
          <x14:formula1>
            <xm:f>src!$I$2:$I$3</xm:f>
          </x14:formula1>
          <xm:sqref>D3:AL35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DDD06-5ADE-477F-BA78-8E806933088D}">
  <dimension ref="A1:AM30"/>
  <sheetViews>
    <sheetView tabSelected="1" workbookViewId="0">
      <selection activeCell="A5" sqref="A5:XFD6"/>
    </sheetView>
  </sheetViews>
  <sheetFormatPr defaultRowHeight="15"/>
  <cols>
    <col min="1" max="1" width="33.140625" bestFit="1" customWidth="1"/>
  </cols>
  <sheetData>
    <row r="1" spans="1:39">
      <c r="A1" s="2" t="s">
        <v>650</v>
      </c>
      <c r="B1" s="2" t="s">
        <v>651</v>
      </c>
      <c r="C1" s="2" t="s">
        <v>652</v>
      </c>
      <c r="D1" s="2" t="s">
        <v>653</v>
      </c>
      <c r="E1" s="2" t="s">
        <v>654</v>
      </c>
      <c r="F1" s="2" t="s">
        <v>655</v>
      </c>
      <c r="G1" s="2" t="s">
        <v>656</v>
      </c>
      <c r="H1" s="2" t="s">
        <v>657</v>
      </c>
      <c r="I1" s="2" t="s">
        <v>658</v>
      </c>
      <c r="J1" s="2" t="s">
        <v>659</v>
      </c>
      <c r="K1" s="2" t="s">
        <v>660</v>
      </c>
      <c r="L1" s="2" t="s">
        <v>661</v>
      </c>
      <c r="M1" s="2" t="s">
        <v>662</v>
      </c>
      <c r="N1" s="2" t="s">
        <v>663</v>
      </c>
      <c r="O1" s="2" t="s">
        <v>664</v>
      </c>
      <c r="P1" s="2" t="s">
        <v>665</v>
      </c>
      <c r="Q1" s="2" t="s">
        <v>666</v>
      </c>
      <c r="R1" s="2" t="s">
        <v>667</v>
      </c>
      <c r="S1" s="2" t="s">
        <v>668</v>
      </c>
      <c r="T1" s="2" t="s">
        <v>669</v>
      </c>
      <c r="U1" s="2" t="s">
        <v>670</v>
      </c>
      <c r="V1" s="2" t="s">
        <v>671</v>
      </c>
      <c r="W1" s="2" t="s">
        <v>672</v>
      </c>
      <c r="X1" s="2" t="s">
        <v>673</v>
      </c>
      <c r="Y1" s="2" t="s">
        <v>674</v>
      </c>
      <c r="Z1" s="2" t="s">
        <v>675</v>
      </c>
      <c r="AA1" s="2" t="s">
        <v>676</v>
      </c>
      <c r="AB1" s="2" t="s">
        <v>677</v>
      </c>
      <c r="AC1" s="2" t="s">
        <v>678</v>
      </c>
      <c r="AD1" s="2" t="s">
        <v>679</v>
      </c>
      <c r="AE1" s="2" t="s">
        <v>680</v>
      </c>
      <c r="AF1" s="2" t="s">
        <v>681</v>
      </c>
      <c r="AG1" s="2" t="s">
        <v>682</v>
      </c>
      <c r="AH1" s="2" t="s">
        <v>683</v>
      </c>
      <c r="AI1" s="2" t="s">
        <v>684</v>
      </c>
      <c r="AJ1" s="2" t="s">
        <v>685</v>
      </c>
      <c r="AK1" s="2" t="s">
        <v>686</v>
      </c>
      <c r="AL1" s="2" t="s">
        <v>687</v>
      </c>
    </row>
    <row r="2" spans="1:39">
      <c r="A2" t="s">
        <v>570</v>
      </c>
      <c r="C2" s="2">
        <f t="shared" ref="C2:C7" si="0">AM2</f>
        <v>4</v>
      </c>
      <c r="D2" s="2"/>
      <c r="E2" s="2"/>
      <c r="F2" s="2"/>
      <c r="G2" s="2"/>
      <c r="H2" s="2" t="s">
        <v>23</v>
      </c>
      <c r="I2" s="2"/>
      <c r="J2" s="2"/>
      <c r="K2" s="2"/>
      <c r="L2" s="2"/>
      <c r="M2" s="2"/>
      <c r="N2" s="2"/>
      <c r="O2" s="2"/>
      <c r="P2" s="2"/>
      <c r="Q2" s="2"/>
      <c r="R2" s="2" t="s">
        <v>70</v>
      </c>
      <c r="S2" s="2" t="s">
        <v>23</v>
      </c>
      <c r="T2" s="2"/>
      <c r="U2" s="2" t="s">
        <v>70</v>
      </c>
      <c r="V2" s="2"/>
      <c r="W2" s="2" t="s">
        <v>23</v>
      </c>
      <c r="X2" s="2" t="s">
        <v>23</v>
      </c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>
        <f t="shared" ref="AM2:AM7" si="1">COUNTIF(D2:AL2,"oui")</f>
        <v>4</v>
      </c>
    </row>
    <row r="3" spans="1:39">
      <c r="A3" t="s">
        <v>573</v>
      </c>
      <c r="C3" s="2">
        <f t="shared" si="0"/>
        <v>4</v>
      </c>
      <c r="D3" s="2"/>
      <c r="E3" s="2"/>
      <c r="F3" s="2" t="s">
        <v>23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 t="s">
        <v>70</v>
      </c>
      <c r="T3" s="2"/>
      <c r="U3" s="2" t="s">
        <v>23</v>
      </c>
      <c r="V3" s="2"/>
      <c r="W3" s="2"/>
      <c r="X3" s="2"/>
      <c r="Y3" s="2"/>
      <c r="Z3" s="2" t="s">
        <v>23</v>
      </c>
      <c r="AA3" s="2"/>
      <c r="AB3" s="2"/>
      <c r="AC3" s="2"/>
      <c r="AD3" s="2"/>
      <c r="AE3" s="2"/>
      <c r="AF3" s="2"/>
      <c r="AG3" s="2" t="s">
        <v>23</v>
      </c>
      <c r="AH3" s="2"/>
      <c r="AI3" s="2"/>
      <c r="AJ3" s="2"/>
      <c r="AK3" s="2"/>
      <c r="AL3" s="2"/>
      <c r="AM3">
        <f t="shared" si="1"/>
        <v>4</v>
      </c>
    </row>
    <row r="4" spans="1:39">
      <c r="A4" t="s">
        <v>575</v>
      </c>
      <c r="C4" s="2">
        <f t="shared" si="0"/>
        <v>4</v>
      </c>
      <c r="D4" s="2"/>
      <c r="E4" s="2" t="s">
        <v>23</v>
      </c>
      <c r="F4" s="2"/>
      <c r="G4" s="2"/>
      <c r="H4" s="2" t="s">
        <v>23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 t="s">
        <v>23</v>
      </c>
      <c r="V4" s="2"/>
      <c r="W4" s="2"/>
      <c r="X4" s="2" t="s">
        <v>23</v>
      </c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>
        <f t="shared" si="1"/>
        <v>4</v>
      </c>
    </row>
    <row r="5" spans="1:39">
      <c r="A5" t="s">
        <v>579</v>
      </c>
      <c r="C5" s="2">
        <f t="shared" si="0"/>
        <v>4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 t="s">
        <v>23</v>
      </c>
      <c r="S5" s="2"/>
      <c r="T5" s="2" t="s">
        <v>23</v>
      </c>
      <c r="U5" s="2"/>
      <c r="V5" s="2" t="s">
        <v>23</v>
      </c>
      <c r="W5" s="2"/>
      <c r="X5" s="2"/>
      <c r="Y5" s="2"/>
      <c r="Z5" s="2" t="s">
        <v>23</v>
      </c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>
        <f t="shared" si="1"/>
        <v>4</v>
      </c>
    </row>
    <row r="6" spans="1:39">
      <c r="A6" t="s">
        <v>580</v>
      </c>
      <c r="C6" s="2">
        <f t="shared" si="0"/>
        <v>4</v>
      </c>
      <c r="D6" s="2"/>
      <c r="E6" s="2"/>
      <c r="F6" s="2" t="s">
        <v>23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 t="s">
        <v>23</v>
      </c>
      <c r="T6" s="2"/>
      <c r="U6" s="2"/>
      <c r="V6" s="2"/>
      <c r="W6" s="2"/>
      <c r="X6" s="2" t="s">
        <v>23</v>
      </c>
      <c r="Y6" s="2" t="s">
        <v>23</v>
      </c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>
        <f t="shared" si="1"/>
        <v>4</v>
      </c>
    </row>
    <row r="7" spans="1:39">
      <c r="A7" t="s">
        <v>581</v>
      </c>
      <c r="C7" s="2">
        <f t="shared" si="0"/>
        <v>4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 t="s">
        <v>23</v>
      </c>
      <c r="S7" s="2" t="s">
        <v>23</v>
      </c>
      <c r="T7" s="2"/>
      <c r="U7" s="2" t="s">
        <v>23</v>
      </c>
      <c r="V7" s="2"/>
      <c r="W7" s="2"/>
      <c r="X7" s="2" t="s">
        <v>23</v>
      </c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>
        <f t="shared" si="1"/>
        <v>4</v>
      </c>
    </row>
    <row r="8" spans="1:39">
      <c r="A8" t="s">
        <v>693</v>
      </c>
      <c r="B8" t="s">
        <v>23</v>
      </c>
      <c r="C8">
        <f>AM8</f>
        <v>3</v>
      </c>
      <c r="H8" t="s">
        <v>23</v>
      </c>
      <c r="U8" t="s">
        <v>23</v>
      </c>
      <c r="AA8" t="s">
        <v>23</v>
      </c>
      <c r="AM8">
        <f>COUNTIF(D8:AL8,"oui")</f>
        <v>3</v>
      </c>
    </row>
    <row r="9" spans="1:39">
      <c r="A9" t="s">
        <v>202</v>
      </c>
      <c r="C9">
        <f t="shared" ref="C9:C10" si="2">AM9</f>
        <v>0</v>
      </c>
      <c r="AM9">
        <f t="shared" ref="AM9:AM10" si="3">COUNTIF(D9:AL9,"oui")</f>
        <v>0</v>
      </c>
    </row>
    <row r="10" spans="1:39">
      <c r="A10" t="s">
        <v>204</v>
      </c>
      <c r="C10">
        <f t="shared" si="2"/>
        <v>0</v>
      </c>
      <c r="AM10">
        <f t="shared" si="3"/>
        <v>0</v>
      </c>
    </row>
    <row r="11" spans="1:39">
      <c r="A11" t="s">
        <v>205</v>
      </c>
      <c r="B11" t="s">
        <v>23</v>
      </c>
      <c r="C11">
        <f>AM11</f>
        <v>3</v>
      </c>
      <c r="U11" t="s">
        <v>23</v>
      </c>
      <c r="X11" t="s">
        <v>23</v>
      </c>
      <c r="Y11" t="s">
        <v>23</v>
      </c>
      <c r="AM11">
        <f t="shared" ref="AM11:AM30" si="4">COUNTIF(D11:AL11,"oui")</f>
        <v>3</v>
      </c>
    </row>
    <row r="12" spans="1:39">
      <c r="A12" t="s">
        <v>177</v>
      </c>
      <c r="B12" t="s">
        <v>23</v>
      </c>
      <c r="C12">
        <f>AM12</f>
        <v>3</v>
      </c>
      <c r="U12" t="s">
        <v>23</v>
      </c>
      <c r="V12" t="s">
        <v>23</v>
      </c>
      <c r="W12" t="s">
        <v>23</v>
      </c>
      <c r="AM12">
        <f t="shared" si="4"/>
        <v>3</v>
      </c>
    </row>
    <row r="13" spans="1:39">
      <c r="A13" t="s">
        <v>190</v>
      </c>
      <c r="B13" t="s">
        <v>23</v>
      </c>
      <c r="C13">
        <f>AM13</f>
        <v>3</v>
      </c>
      <c r="G13" t="s">
        <v>23</v>
      </c>
      <c r="I13" t="s">
        <v>23</v>
      </c>
      <c r="K13" t="s">
        <v>23</v>
      </c>
      <c r="M13" t="s">
        <v>70</v>
      </c>
      <c r="X13" t="s">
        <v>70</v>
      </c>
      <c r="Y13" t="s">
        <v>70</v>
      </c>
      <c r="AM13">
        <f t="shared" si="4"/>
        <v>3</v>
      </c>
    </row>
    <row r="14" spans="1:39">
      <c r="A14" t="s">
        <v>196</v>
      </c>
      <c r="B14" t="s">
        <v>23</v>
      </c>
      <c r="C14">
        <f>AM14</f>
        <v>5</v>
      </c>
      <c r="L14" t="s">
        <v>23</v>
      </c>
      <c r="AE14" t="s">
        <v>23</v>
      </c>
      <c r="AF14" t="s">
        <v>23</v>
      </c>
      <c r="AH14" t="s">
        <v>23</v>
      </c>
      <c r="AJ14" t="s">
        <v>23</v>
      </c>
      <c r="AM14">
        <f t="shared" si="4"/>
        <v>5</v>
      </c>
    </row>
    <row r="15" spans="1:39">
      <c r="A15" t="s">
        <v>139</v>
      </c>
      <c r="B15" t="s">
        <v>23</v>
      </c>
      <c r="C15">
        <f>AM15</f>
        <v>3</v>
      </c>
      <c r="D15" t="s">
        <v>23</v>
      </c>
      <c r="X15" t="s">
        <v>23</v>
      </c>
      <c r="Y15" t="s">
        <v>23</v>
      </c>
      <c r="AM15">
        <f t="shared" si="4"/>
        <v>3</v>
      </c>
    </row>
    <row r="16" spans="1:39">
      <c r="A16" t="s">
        <v>155</v>
      </c>
      <c r="B16" t="s">
        <v>23</v>
      </c>
      <c r="C16">
        <f>AM16</f>
        <v>4</v>
      </c>
      <c r="E16" t="s">
        <v>23</v>
      </c>
      <c r="Q16" t="s">
        <v>23</v>
      </c>
      <c r="U16" t="s">
        <v>23</v>
      </c>
      <c r="V16" t="s">
        <v>70</v>
      </c>
      <c r="AD16" t="s">
        <v>23</v>
      </c>
      <c r="AM16">
        <f t="shared" si="4"/>
        <v>4</v>
      </c>
    </row>
    <row r="17" spans="1:39">
      <c r="A17" t="s">
        <v>618</v>
      </c>
      <c r="B17" t="s">
        <v>23</v>
      </c>
      <c r="C17">
        <f>AM17</f>
        <v>3</v>
      </c>
      <c r="E17" t="s">
        <v>23</v>
      </c>
      <c r="G17" t="s">
        <v>70</v>
      </c>
      <c r="H17" t="s">
        <v>70</v>
      </c>
      <c r="N17" t="s">
        <v>23</v>
      </c>
      <c r="V17" t="s">
        <v>23</v>
      </c>
      <c r="AM17" s="14">
        <f t="shared" si="4"/>
        <v>3</v>
      </c>
    </row>
    <row r="18" spans="1:39">
      <c r="A18" t="s">
        <v>164</v>
      </c>
      <c r="B18" t="s">
        <v>23</v>
      </c>
      <c r="C18">
        <f>AM18</f>
        <v>4</v>
      </c>
      <c r="F18" t="s">
        <v>23</v>
      </c>
      <c r="H18" t="s">
        <v>23</v>
      </c>
      <c r="R18" t="s">
        <v>23</v>
      </c>
      <c r="Z18" t="s">
        <v>23</v>
      </c>
      <c r="AM18">
        <f t="shared" si="4"/>
        <v>4</v>
      </c>
    </row>
    <row r="19" spans="1:39">
      <c r="A19" t="s">
        <v>167</v>
      </c>
      <c r="B19" t="s">
        <v>23</v>
      </c>
      <c r="C19">
        <f>AM19</f>
        <v>3</v>
      </c>
      <c r="H19" t="s">
        <v>23</v>
      </c>
      <c r="U19" t="s">
        <v>70</v>
      </c>
      <c r="X19" t="s">
        <v>23</v>
      </c>
      <c r="AA19" t="s">
        <v>23</v>
      </c>
      <c r="AM19">
        <f t="shared" si="4"/>
        <v>3</v>
      </c>
    </row>
    <row r="20" spans="1:39">
      <c r="A20" t="s">
        <v>169</v>
      </c>
      <c r="B20" t="s">
        <v>23</v>
      </c>
      <c r="C20">
        <f>AM20</f>
        <v>3</v>
      </c>
      <c r="D20" t="s">
        <v>23</v>
      </c>
      <c r="V20" t="s">
        <v>23</v>
      </c>
      <c r="W20" t="s">
        <v>23</v>
      </c>
      <c r="AM20">
        <f t="shared" si="4"/>
        <v>3</v>
      </c>
    </row>
    <row r="21" spans="1:39">
      <c r="A21" t="s">
        <v>58</v>
      </c>
      <c r="B21" t="s">
        <v>23</v>
      </c>
      <c r="C21">
        <f>AM21</f>
        <v>3</v>
      </c>
      <c r="G21" t="s">
        <v>23</v>
      </c>
      <c r="O21" t="s">
        <v>23</v>
      </c>
      <c r="W21" t="s">
        <v>23</v>
      </c>
      <c r="AM21">
        <f t="shared" si="4"/>
        <v>3</v>
      </c>
    </row>
    <row r="22" spans="1:39">
      <c r="A22" t="s">
        <v>694</v>
      </c>
      <c r="B22" t="s">
        <v>23</v>
      </c>
      <c r="C22">
        <f>AM22</f>
        <v>3</v>
      </c>
      <c r="S22" t="s">
        <v>23</v>
      </c>
      <c r="U22" t="s">
        <v>23</v>
      </c>
      <c r="X22" t="s">
        <v>23</v>
      </c>
      <c r="AM22">
        <f t="shared" si="4"/>
        <v>3</v>
      </c>
    </row>
    <row r="23" spans="1:39">
      <c r="A23" t="s">
        <v>79</v>
      </c>
      <c r="B23" t="s">
        <v>23</v>
      </c>
      <c r="C23">
        <f>AM23</f>
        <v>3</v>
      </c>
      <c r="H23" t="s">
        <v>70</v>
      </c>
      <c r="N23" t="s">
        <v>23</v>
      </c>
      <c r="V23" t="s">
        <v>23</v>
      </c>
      <c r="X23" t="s">
        <v>23</v>
      </c>
      <c r="AM23">
        <f t="shared" si="4"/>
        <v>3</v>
      </c>
    </row>
    <row r="24" spans="1:39">
      <c r="A24" t="s">
        <v>182</v>
      </c>
      <c r="B24" t="s">
        <v>23</v>
      </c>
      <c r="C24">
        <f>AM24</f>
        <v>3</v>
      </c>
      <c r="O24" t="s">
        <v>23</v>
      </c>
      <c r="V24" t="s">
        <v>23</v>
      </c>
      <c r="W24" t="s">
        <v>70</v>
      </c>
      <c r="Z24" t="s">
        <v>23</v>
      </c>
      <c r="AM24">
        <f t="shared" si="4"/>
        <v>3</v>
      </c>
    </row>
    <row r="25" spans="1:39">
      <c r="A25" t="s">
        <v>150</v>
      </c>
      <c r="B25" t="s">
        <v>23</v>
      </c>
      <c r="C25">
        <f>AM25</f>
        <v>3</v>
      </c>
      <c r="U25" t="s">
        <v>23</v>
      </c>
      <c r="V25" t="s">
        <v>23</v>
      </c>
      <c r="W25" t="s">
        <v>23</v>
      </c>
      <c r="AM25">
        <f t="shared" si="4"/>
        <v>3</v>
      </c>
    </row>
    <row r="26" spans="1:39">
      <c r="A26" t="s">
        <v>175</v>
      </c>
      <c r="B26" t="s">
        <v>23</v>
      </c>
      <c r="C26">
        <f>AM26</f>
        <v>3</v>
      </c>
      <c r="AA26" t="s">
        <v>23</v>
      </c>
      <c r="AB26" t="s">
        <v>23</v>
      </c>
      <c r="AG26" t="s">
        <v>23</v>
      </c>
      <c r="AM26">
        <f t="shared" si="4"/>
        <v>3</v>
      </c>
    </row>
    <row r="27" spans="1:39">
      <c r="A27" s="2" t="s">
        <v>550</v>
      </c>
      <c r="B27" t="s">
        <v>23</v>
      </c>
      <c r="C27">
        <f>AM27</f>
        <v>3</v>
      </c>
      <c r="G27" t="s">
        <v>70</v>
      </c>
      <c r="M27" t="s">
        <v>23</v>
      </c>
      <c r="N27" t="s">
        <v>70</v>
      </c>
      <c r="O27" t="s">
        <v>23</v>
      </c>
      <c r="P27" t="s">
        <v>23</v>
      </c>
      <c r="AM27">
        <f t="shared" si="4"/>
        <v>3</v>
      </c>
    </row>
    <row r="28" spans="1:39">
      <c r="A28" s="17" t="s">
        <v>550</v>
      </c>
      <c r="B28" s="17" t="s">
        <v>23</v>
      </c>
      <c r="C28">
        <f t="shared" ref="C28:C29" si="5">AM28</f>
        <v>4</v>
      </c>
      <c r="J28" t="s">
        <v>23</v>
      </c>
      <c r="T28" t="s">
        <v>23</v>
      </c>
      <c r="X28" t="s">
        <v>23</v>
      </c>
      <c r="Y28" t="s">
        <v>23</v>
      </c>
      <c r="AM28">
        <f t="shared" si="4"/>
        <v>4</v>
      </c>
    </row>
    <row r="29" spans="1:39">
      <c r="A29" s="17" t="s">
        <v>567</v>
      </c>
      <c r="B29" s="17" t="s">
        <v>25</v>
      </c>
      <c r="C29">
        <f t="shared" si="5"/>
        <v>0</v>
      </c>
      <c r="AC29" t="s">
        <v>23</v>
      </c>
    </row>
    <row r="30" spans="1:39">
      <c r="D30">
        <f>COUNTIF(D2:D29,"oui")</f>
        <v>2</v>
      </c>
      <c r="E30">
        <f>COUNTIF(E2:E29,"oui")</f>
        <v>3</v>
      </c>
      <c r="F30">
        <f>COUNTIF(F2:F29,"oui")</f>
        <v>3</v>
      </c>
      <c r="G30">
        <f>COUNTIF(G2:G29,"oui")</f>
        <v>2</v>
      </c>
      <c r="H30">
        <f>COUNTIF(H2:H29,"oui")</f>
        <v>5</v>
      </c>
      <c r="I30">
        <f>COUNTIF(I2:I29,"oui")</f>
        <v>1</v>
      </c>
      <c r="J30">
        <f>COUNTIF(J2:J29,"oui")</f>
        <v>1</v>
      </c>
      <c r="K30">
        <f>COUNTIF(K2:K29,"oui")</f>
        <v>1</v>
      </c>
      <c r="L30">
        <f>COUNTIF(L2:L29,"oui")</f>
        <v>1</v>
      </c>
      <c r="M30">
        <f>COUNTIF(M2:M29,"oui")</f>
        <v>1</v>
      </c>
      <c r="N30">
        <f>COUNTIF(N2:N29,"oui")</f>
        <v>2</v>
      </c>
      <c r="O30">
        <f>COUNTIF(O2:O29,"oui")</f>
        <v>3</v>
      </c>
      <c r="P30">
        <f>COUNTIF(P2:P29,"oui")</f>
        <v>1</v>
      </c>
      <c r="Q30">
        <f>COUNTIF(Q2:Q29,"oui")</f>
        <v>1</v>
      </c>
      <c r="R30">
        <f>COUNTIF(R2:R29,"oui")</f>
        <v>3</v>
      </c>
      <c r="S30">
        <f>COUNTIF(S2:S29,"oui")</f>
        <v>4</v>
      </c>
      <c r="T30">
        <f>COUNTIF(T2:T29,"oui")</f>
        <v>2</v>
      </c>
      <c r="U30">
        <f>COUNTIF(U2:U29,"oui")</f>
        <v>9</v>
      </c>
      <c r="V30">
        <f>COUNTIF(V2:V29,"oui")</f>
        <v>7</v>
      </c>
      <c r="W30">
        <f>COUNTIF(W2:W29,"oui")</f>
        <v>5</v>
      </c>
      <c r="X30">
        <f>COUNTIF(X2:X29,"oui")</f>
        <v>10</v>
      </c>
      <c r="Y30">
        <f>COUNTIF(Y2:Y29,"oui")</f>
        <v>4</v>
      </c>
      <c r="Z30">
        <f>COUNTIF(Z2:Z29,"oui")</f>
        <v>4</v>
      </c>
      <c r="AA30">
        <f>COUNTIF(AA2:AA29,"oui")</f>
        <v>3</v>
      </c>
      <c r="AB30">
        <f>COUNTIF(AB2:AB29,"oui")</f>
        <v>1</v>
      </c>
      <c r="AC30">
        <f>COUNTIF(AC2:AC29,"oui")</f>
        <v>1</v>
      </c>
      <c r="AD30">
        <f>COUNTIF(AD2:AD29,"oui")</f>
        <v>1</v>
      </c>
      <c r="AE30">
        <f>COUNTIF(AE2:AE29,"oui")</f>
        <v>1</v>
      </c>
      <c r="AF30">
        <f>COUNTIF(AF2:AF29,"oui")</f>
        <v>1</v>
      </c>
      <c r="AG30">
        <f>COUNTIF(AG2:AG29,"oui")</f>
        <v>2</v>
      </c>
      <c r="AH30">
        <f>COUNTIF(AH2:AH29,"oui")</f>
        <v>1</v>
      </c>
      <c r="AI30">
        <f>COUNTIF(AI2:AI29,"oui")</f>
        <v>0</v>
      </c>
      <c r="AJ30">
        <f>COUNTIF(AJ2:AJ29,"oui")</f>
        <v>1</v>
      </c>
      <c r="AK30">
        <f>COUNTIF(AK2:AK29,"oui")</f>
        <v>0</v>
      </c>
      <c r="AL30">
        <f>COUNTIF(AL2:AL29,"oui")</f>
        <v>0</v>
      </c>
      <c r="AM30">
        <f t="shared" si="4"/>
        <v>0</v>
      </c>
    </row>
  </sheetData>
  <dataValidations count="1">
    <dataValidation allowBlank="1" showInputMessage="1" showErrorMessage="1" sqref="B15" xr:uid="{C717CF4B-2224-4526-85E7-6DEE514D344B}"/>
  </dataValidations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D61620D-0804-4470-BC4B-611695044C4B}">
          <x14:formula1>
            <xm:f>src!$H$2:$H$3</xm:f>
          </x14:formula1>
          <xm:sqref>B16:B30 B1:B14</xm:sqref>
        </x14:dataValidation>
        <x14:dataValidation type="list" allowBlank="1" showInputMessage="1" showErrorMessage="1" xr:uid="{DC046C2B-C98C-42F1-96F1-07DF6E38224C}">
          <x14:formula1>
            <xm:f>src!$I$2:$I$3</xm:f>
          </x14:formula1>
          <xm:sqref>D2:AL29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"/>
  <sheetViews>
    <sheetView workbookViewId="0">
      <selection activeCell="D9" sqref="D9"/>
    </sheetView>
  </sheetViews>
  <sheetFormatPr defaultColWidth="11.42578125" defaultRowHeight="15"/>
  <cols>
    <col min="1" max="1" width="14.7109375" bestFit="1" customWidth="1"/>
    <col min="2" max="2" width="19.28515625" bestFit="1" customWidth="1"/>
    <col min="3" max="3" width="15.28515625" style="6" bestFit="1" customWidth="1"/>
    <col min="4" max="4" width="18" bestFit="1" customWidth="1"/>
    <col min="5" max="5" width="18.5703125" bestFit="1" customWidth="1"/>
    <col min="6" max="6" width="12" bestFit="1" customWidth="1"/>
    <col min="7" max="7" width="35.42578125" bestFit="1" customWidth="1"/>
  </cols>
  <sheetData>
    <row r="1" spans="1:9" s="2" customFormat="1">
      <c r="A1" s="2" t="s">
        <v>698</v>
      </c>
      <c r="B1" s="2" t="s">
        <v>2</v>
      </c>
      <c r="C1" s="9" t="s">
        <v>3</v>
      </c>
      <c r="D1" s="2" t="s">
        <v>4</v>
      </c>
      <c r="E1" s="2" t="s">
        <v>5</v>
      </c>
      <c r="F1" s="2" t="s">
        <v>12</v>
      </c>
      <c r="G1" s="2" t="s">
        <v>13</v>
      </c>
      <c r="H1" s="2" t="s">
        <v>699</v>
      </c>
      <c r="I1" s="2" t="s">
        <v>700</v>
      </c>
    </row>
    <row r="2" spans="1:9">
      <c r="A2" t="s">
        <v>18</v>
      </c>
      <c r="B2" t="s">
        <v>99</v>
      </c>
      <c r="C2" s="6" t="s">
        <v>178</v>
      </c>
      <c r="D2" t="s">
        <v>88</v>
      </c>
      <c r="E2" t="s">
        <v>101</v>
      </c>
      <c r="F2" t="s">
        <v>27</v>
      </c>
      <c r="G2" t="s">
        <v>33</v>
      </c>
      <c r="H2" t="s">
        <v>23</v>
      </c>
      <c r="I2" s="1" t="s">
        <v>70</v>
      </c>
    </row>
    <row r="3" spans="1:9">
      <c r="A3" t="s">
        <v>31</v>
      </c>
      <c r="B3" t="s">
        <v>440</v>
      </c>
      <c r="C3" s="6" t="s">
        <v>59</v>
      </c>
      <c r="D3" t="s">
        <v>37</v>
      </c>
      <c r="E3" t="s">
        <v>22</v>
      </c>
      <c r="F3" t="s">
        <v>54</v>
      </c>
      <c r="G3" t="s">
        <v>64</v>
      </c>
      <c r="H3" t="s">
        <v>25</v>
      </c>
      <c r="I3" t="s">
        <v>23</v>
      </c>
    </row>
    <row r="4" spans="1:9">
      <c r="B4" t="s">
        <v>35</v>
      </c>
      <c r="C4" s="6" t="s">
        <v>50</v>
      </c>
      <c r="D4" t="s">
        <v>191</v>
      </c>
      <c r="E4" t="s">
        <v>114</v>
      </c>
      <c r="F4" t="s">
        <v>103</v>
      </c>
      <c r="G4" t="s">
        <v>85</v>
      </c>
    </row>
    <row r="5" spans="1:9">
      <c r="B5" t="s">
        <v>19</v>
      </c>
      <c r="C5" s="6" t="s">
        <v>186</v>
      </c>
      <c r="D5" t="s">
        <v>19</v>
      </c>
      <c r="E5" t="s">
        <v>442</v>
      </c>
      <c r="F5" t="s">
        <v>47</v>
      </c>
      <c r="G5" t="s">
        <v>106</v>
      </c>
    </row>
    <row r="6" spans="1:9">
      <c r="B6" t="s">
        <v>140</v>
      </c>
      <c r="C6" s="6" t="s">
        <v>188</v>
      </c>
      <c r="D6" t="s">
        <v>44</v>
      </c>
      <c r="E6" t="s">
        <v>506</v>
      </c>
      <c r="G6" t="s">
        <v>28</v>
      </c>
    </row>
    <row r="7" spans="1:9">
      <c r="B7" t="s">
        <v>32</v>
      </c>
      <c r="C7" s="6" t="s">
        <v>20</v>
      </c>
      <c r="D7" t="s">
        <v>32</v>
      </c>
      <c r="E7" t="s">
        <v>586</v>
      </c>
      <c r="G7" t="s">
        <v>40</v>
      </c>
    </row>
    <row r="8" spans="1:9">
      <c r="B8" t="s">
        <v>43</v>
      </c>
      <c r="D8" t="s">
        <v>100</v>
      </c>
      <c r="E8" t="s">
        <v>518</v>
      </c>
    </row>
    <row r="9" spans="1:9">
      <c r="D9" t="s">
        <v>216</v>
      </c>
      <c r="E9" t="s">
        <v>701</v>
      </c>
    </row>
    <row r="10" spans="1:9">
      <c r="D10" t="s">
        <v>60</v>
      </c>
      <c r="E10" t="s">
        <v>702</v>
      </c>
    </row>
    <row r="11" spans="1:9">
      <c r="D11" t="s">
        <v>51</v>
      </c>
      <c r="E11" t="s">
        <v>703</v>
      </c>
    </row>
    <row r="12" spans="1:9">
      <c r="D12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D52F7-6F4C-4DC4-905C-FAC6C1B263BA}">
  <dimension ref="A1:AN29"/>
  <sheetViews>
    <sheetView workbookViewId="0">
      <selection activeCell="B1" sqref="B1"/>
    </sheetView>
  </sheetViews>
  <sheetFormatPr defaultRowHeight="15"/>
  <cols>
    <col min="1" max="1" width="23.140625" bestFit="1" customWidth="1"/>
    <col min="2" max="2" width="48.7109375" bestFit="1" customWidth="1"/>
    <col min="3" max="3" width="10.42578125" bestFit="1" customWidth="1"/>
  </cols>
  <sheetData>
    <row r="1" spans="1:40">
      <c r="B1" s="10"/>
      <c r="C1" s="10"/>
      <c r="D1" s="10"/>
      <c r="E1" s="22" t="s">
        <v>641</v>
      </c>
      <c r="F1" s="22"/>
      <c r="G1" s="22"/>
      <c r="H1" s="22"/>
      <c r="I1" s="22"/>
      <c r="J1" s="22" t="s">
        <v>642</v>
      </c>
      <c r="K1" s="22"/>
      <c r="L1" s="22"/>
      <c r="M1" s="22"/>
      <c r="N1" s="22" t="s">
        <v>643</v>
      </c>
      <c r="O1" s="22"/>
      <c r="P1" s="22"/>
      <c r="Q1" s="22"/>
      <c r="R1" s="22"/>
      <c r="S1" s="22" t="s">
        <v>644</v>
      </c>
      <c r="T1" s="22"/>
      <c r="U1" s="22"/>
      <c r="V1" s="22" t="s">
        <v>645</v>
      </c>
      <c r="W1" s="22"/>
      <c r="X1" s="22"/>
      <c r="Y1" s="23" t="s">
        <v>646</v>
      </c>
      <c r="Z1" s="23"/>
      <c r="AA1" s="23"/>
      <c r="AB1" s="22" t="s">
        <v>647</v>
      </c>
      <c r="AC1" s="22"/>
      <c r="AD1" s="22"/>
      <c r="AE1" s="22"/>
      <c r="AF1" s="22" t="s">
        <v>648</v>
      </c>
      <c r="AG1" s="22"/>
      <c r="AH1" s="22"/>
      <c r="AI1" s="23" t="s">
        <v>649</v>
      </c>
      <c r="AJ1" s="23"/>
      <c r="AK1" s="23"/>
      <c r="AL1" s="23"/>
      <c r="AM1" s="23"/>
      <c r="AN1" s="10"/>
    </row>
    <row r="2" spans="1:40">
      <c r="A2" s="2" t="s">
        <v>704</v>
      </c>
      <c r="B2" s="2" t="s">
        <v>650</v>
      </c>
      <c r="C2" s="2" t="s">
        <v>651</v>
      </c>
      <c r="D2" s="2" t="s">
        <v>652</v>
      </c>
      <c r="E2" s="2" t="s">
        <v>653</v>
      </c>
      <c r="F2" s="2" t="s">
        <v>654</v>
      </c>
      <c r="G2" s="2" t="s">
        <v>655</v>
      </c>
      <c r="H2" s="2" t="s">
        <v>656</v>
      </c>
      <c r="I2" s="2" t="s">
        <v>657</v>
      </c>
      <c r="J2" s="2" t="s">
        <v>658</v>
      </c>
      <c r="K2" s="2" t="s">
        <v>659</v>
      </c>
      <c r="L2" s="2" t="s">
        <v>660</v>
      </c>
      <c r="M2" s="2" t="s">
        <v>661</v>
      </c>
      <c r="N2" s="2" t="s">
        <v>662</v>
      </c>
      <c r="O2" s="2" t="s">
        <v>663</v>
      </c>
      <c r="P2" s="2" t="s">
        <v>664</v>
      </c>
      <c r="Q2" s="2" t="s">
        <v>665</v>
      </c>
      <c r="R2" s="2" t="s">
        <v>666</v>
      </c>
      <c r="S2" s="2" t="s">
        <v>667</v>
      </c>
      <c r="T2" s="2" t="s">
        <v>668</v>
      </c>
      <c r="U2" s="2" t="s">
        <v>669</v>
      </c>
      <c r="V2" s="2" t="s">
        <v>670</v>
      </c>
      <c r="W2" s="2" t="s">
        <v>671</v>
      </c>
      <c r="X2" s="2" t="s">
        <v>672</v>
      </c>
      <c r="Y2" s="2" t="s">
        <v>673</v>
      </c>
      <c r="Z2" s="2" t="s">
        <v>674</v>
      </c>
      <c r="AA2" s="2" t="s">
        <v>675</v>
      </c>
      <c r="AB2" s="2" t="s">
        <v>676</v>
      </c>
      <c r="AC2" s="2" t="s">
        <v>677</v>
      </c>
      <c r="AD2" s="2" t="s">
        <v>678</v>
      </c>
      <c r="AE2" s="2" t="s">
        <v>679</v>
      </c>
      <c r="AF2" s="2" t="s">
        <v>680</v>
      </c>
      <c r="AG2" s="2" t="s">
        <v>681</v>
      </c>
      <c r="AH2" s="2" t="s">
        <v>682</v>
      </c>
      <c r="AI2" s="2" t="s">
        <v>683</v>
      </c>
      <c r="AJ2" s="2" t="s">
        <v>684</v>
      </c>
      <c r="AK2" s="2" t="s">
        <v>685</v>
      </c>
      <c r="AL2" s="2" t="s">
        <v>686</v>
      </c>
      <c r="AM2" s="2" t="s">
        <v>687</v>
      </c>
    </row>
    <row r="3" spans="1:40">
      <c r="A3" t="s">
        <v>442</v>
      </c>
      <c r="B3" t="s">
        <v>441</v>
      </c>
      <c r="C3" t="s">
        <v>23</v>
      </c>
      <c r="D3">
        <f>AN3</f>
        <v>3</v>
      </c>
      <c r="N3" t="s">
        <v>23</v>
      </c>
      <c r="O3" t="s">
        <v>23</v>
      </c>
      <c r="P3" t="s">
        <v>23</v>
      </c>
      <c r="AN3">
        <f>COUNTIF(E3:AM3,"oui")</f>
        <v>3</v>
      </c>
    </row>
    <row r="4" spans="1:40">
      <c r="A4" t="s">
        <v>442</v>
      </c>
      <c r="B4" t="s">
        <v>445</v>
      </c>
      <c r="C4" t="s">
        <v>23</v>
      </c>
      <c r="D4">
        <f>AN4</f>
        <v>3</v>
      </c>
      <c r="I4" t="s">
        <v>23</v>
      </c>
      <c r="U4" t="s">
        <v>23</v>
      </c>
      <c r="AE4" t="s">
        <v>23</v>
      </c>
      <c r="AN4">
        <f t="shared" ref="AN4:AN29" si="0">COUNTIF(E4:AM4,"oui")</f>
        <v>3</v>
      </c>
    </row>
    <row r="5" spans="1:40">
      <c r="A5" t="s">
        <v>442</v>
      </c>
      <c r="B5" t="s">
        <v>447</v>
      </c>
      <c r="C5" t="s">
        <v>23</v>
      </c>
      <c r="D5">
        <f>AN5</f>
        <v>3</v>
      </c>
      <c r="K5" t="s">
        <v>23</v>
      </c>
      <c r="L5" t="s">
        <v>23</v>
      </c>
      <c r="U5" t="s">
        <v>23</v>
      </c>
      <c r="AN5">
        <f t="shared" si="0"/>
        <v>3</v>
      </c>
    </row>
    <row r="6" spans="1:40">
      <c r="A6" t="s">
        <v>442</v>
      </c>
      <c r="B6" t="s">
        <v>450</v>
      </c>
      <c r="C6" t="s">
        <v>23</v>
      </c>
      <c r="D6">
        <f>AN6</f>
        <v>3</v>
      </c>
      <c r="E6" t="s">
        <v>23</v>
      </c>
      <c r="G6" t="s">
        <v>23</v>
      </c>
      <c r="AE6" t="s">
        <v>23</v>
      </c>
      <c r="AN6">
        <f t="shared" si="0"/>
        <v>3</v>
      </c>
    </row>
    <row r="7" spans="1:40">
      <c r="A7" t="s">
        <v>442</v>
      </c>
      <c r="B7" t="s">
        <v>453</v>
      </c>
      <c r="C7" t="s">
        <v>23</v>
      </c>
      <c r="D7">
        <f>AN7</f>
        <v>3</v>
      </c>
      <c r="S7" t="s">
        <v>23</v>
      </c>
      <c r="Y7" t="s">
        <v>23</v>
      </c>
      <c r="Z7" t="s">
        <v>23</v>
      </c>
      <c r="AN7">
        <f t="shared" si="0"/>
        <v>3</v>
      </c>
    </row>
    <row r="8" spans="1:40">
      <c r="A8" t="s">
        <v>442</v>
      </c>
      <c r="B8" t="s">
        <v>456</v>
      </c>
      <c r="C8" t="s">
        <v>23</v>
      </c>
      <c r="D8">
        <f>AN8</f>
        <v>3</v>
      </c>
      <c r="F8" t="s">
        <v>23</v>
      </c>
      <c r="M8" t="s">
        <v>23</v>
      </c>
      <c r="P8" t="s">
        <v>23</v>
      </c>
      <c r="AN8">
        <f t="shared" si="0"/>
        <v>3</v>
      </c>
    </row>
    <row r="9" spans="1:40">
      <c r="A9" t="s">
        <v>442</v>
      </c>
      <c r="B9" t="s">
        <v>459</v>
      </c>
      <c r="C9" t="s">
        <v>23</v>
      </c>
      <c r="D9">
        <f>AN9</f>
        <v>3</v>
      </c>
      <c r="G9" t="s">
        <v>23</v>
      </c>
      <c r="I9" t="s">
        <v>23</v>
      </c>
      <c r="S9" t="s">
        <v>23</v>
      </c>
      <c r="AN9">
        <f t="shared" si="0"/>
        <v>3</v>
      </c>
    </row>
    <row r="10" spans="1:40">
      <c r="A10" t="s">
        <v>442</v>
      </c>
      <c r="B10" t="s">
        <v>462</v>
      </c>
      <c r="C10" t="s">
        <v>23</v>
      </c>
      <c r="D10">
        <f>AN10</f>
        <v>3</v>
      </c>
      <c r="I10" t="s">
        <v>23</v>
      </c>
      <c r="AB10" t="s">
        <v>23</v>
      </c>
      <c r="AC10" t="s">
        <v>23</v>
      </c>
      <c r="AN10" s="14">
        <f t="shared" si="0"/>
        <v>3</v>
      </c>
    </row>
    <row r="11" spans="1:40">
      <c r="A11" t="s">
        <v>442</v>
      </c>
      <c r="B11" t="s">
        <v>465</v>
      </c>
      <c r="C11" t="s">
        <v>23</v>
      </c>
      <c r="D11">
        <f>AN11</f>
        <v>3</v>
      </c>
      <c r="P11" t="s">
        <v>23</v>
      </c>
      <c r="V11" t="s">
        <v>23</v>
      </c>
      <c r="Y11" t="s">
        <v>23</v>
      </c>
      <c r="AN11">
        <f t="shared" si="0"/>
        <v>3</v>
      </c>
    </row>
    <row r="12" spans="1:40">
      <c r="A12" t="s">
        <v>442</v>
      </c>
      <c r="B12" t="s">
        <v>468</v>
      </c>
      <c r="C12" t="s">
        <v>23</v>
      </c>
      <c r="D12">
        <f>AN12</f>
        <v>3</v>
      </c>
      <c r="F12" t="s">
        <v>23</v>
      </c>
      <c r="K12" t="s">
        <v>23</v>
      </c>
      <c r="P12" t="s">
        <v>23</v>
      </c>
      <c r="AN12">
        <f t="shared" si="0"/>
        <v>3</v>
      </c>
    </row>
    <row r="13" spans="1:40">
      <c r="A13" t="s">
        <v>442</v>
      </c>
      <c r="B13" t="s">
        <v>471</v>
      </c>
      <c r="C13" t="s">
        <v>25</v>
      </c>
      <c r="D13">
        <f>AN13</f>
        <v>3</v>
      </c>
      <c r="J13" t="s">
        <v>23</v>
      </c>
      <c r="K13" t="s">
        <v>23</v>
      </c>
      <c r="L13" t="s">
        <v>23</v>
      </c>
      <c r="AN13">
        <f t="shared" si="0"/>
        <v>3</v>
      </c>
    </row>
    <row r="14" spans="1:40">
      <c r="A14" t="s">
        <v>442</v>
      </c>
      <c r="B14" t="s">
        <v>474</v>
      </c>
      <c r="C14" t="s">
        <v>25</v>
      </c>
      <c r="D14">
        <f>AN14</f>
        <v>0</v>
      </c>
      <c r="AN14">
        <f t="shared" si="0"/>
        <v>0</v>
      </c>
    </row>
    <row r="15" spans="1:40">
      <c r="A15" t="s">
        <v>442</v>
      </c>
      <c r="B15" t="s">
        <v>475</v>
      </c>
      <c r="C15" t="s">
        <v>23</v>
      </c>
      <c r="D15">
        <f>AN15</f>
        <v>3</v>
      </c>
      <c r="E15" t="s">
        <v>23</v>
      </c>
      <c r="H15" t="s">
        <v>70</v>
      </c>
      <c r="K15" t="s">
        <v>23</v>
      </c>
      <c r="Z15" t="s">
        <v>23</v>
      </c>
      <c r="AN15">
        <f t="shared" si="0"/>
        <v>3</v>
      </c>
    </row>
    <row r="16" spans="1:40">
      <c r="A16" t="s">
        <v>442</v>
      </c>
      <c r="B16" t="s">
        <v>489</v>
      </c>
      <c r="C16" t="s">
        <v>23</v>
      </c>
      <c r="D16">
        <f>AN16</f>
        <v>3</v>
      </c>
      <c r="H16" t="s">
        <v>23</v>
      </c>
      <c r="P16" t="s">
        <v>23</v>
      </c>
      <c r="Z16" t="s">
        <v>23</v>
      </c>
      <c r="AN16">
        <f t="shared" si="0"/>
        <v>3</v>
      </c>
    </row>
    <row r="17" spans="2:40">
      <c r="D17">
        <f>AN17</f>
        <v>0</v>
      </c>
      <c r="AN17">
        <f t="shared" si="0"/>
        <v>0</v>
      </c>
    </row>
    <row r="18" spans="2:40">
      <c r="D18">
        <f>AN18</f>
        <v>0</v>
      </c>
      <c r="AN18">
        <f t="shared" si="0"/>
        <v>0</v>
      </c>
    </row>
    <row r="19" spans="2:40">
      <c r="D19">
        <f>AN19</f>
        <v>0</v>
      </c>
      <c r="AN19">
        <f t="shared" si="0"/>
        <v>0</v>
      </c>
    </row>
    <row r="20" spans="2:40">
      <c r="D20">
        <f>AN20</f>
        <v>0</v>
      </c>
      <c r="AN20">
        <f t="shared" si="0"/>
        <v>0</v>
      </c>
    </row>
    <row r="21" spans="2:40">
      <c r="D21">
        <f>AN21</f>
        <v>0</v>
      </c>
      <c r="AN21">
        <f t="shared" si="0"/>
        <v>0</v>
      </c>
    </row>
    <row r="22" spans="2:40">
      <c r="D22">
        <f>AN22</f>
        <v>0</v>
      </c>
      <c r="AN22">
        <f t="shared" si="0"/>
        <v>0</v>
      </c>
    </row>
    <row r="23" spans="2:40">
      <c r="D23">
        <f>AN23</f>
        <v>0</v>
      </c>
      <c r="AN23">
        <f t="shared" si="0"/>
        <v>0</v>
      </c>
    </row>
    <row r="24" spans="2:40">
      <c r="D24">
        <f>AN24</f>
        <v>0</v>
      </c>
      <c r="AN24">
        <f t="shared" si="0"/>
        <v>0</v>
      </c>
    </row>
    <row r="25" spans="2:40">
      <c r="D25">
        <f>AN25</f>
        <v>0</v>
      </c>
      <c r="AN25">
        <f t="shared" si="0"/>
        <v>0</v>
      </c>
    </row>
    <row r="26" spans="2:40">
      <c r="D26">
        <f>AN26</f>
        <v>0</v>
      </c>
      <c r="AN26">
        <f t="shared" si="0"/>
        <v>0</v>
      </c>
    </row>
    <row r="27" spans="2:40">
      <c r="B27" s="2"/>
    </row>
    <row r="28" spans="2:40">
      <c r="D28">
        <f>AN28</f>
        <v>0</v>
      </c>
      <c r="AN28">
        <f t="shared" si="0"/>
        <v>0</v>
      </c>
    </row>
    <row r="29" spans="2:40">
      <c r="E29">
        <f>COUNTIF(E3:E28,"oui")</f>
        <v>2</v>
      </c>
      <c r="F29">
        <f t="shared" ref="F29:AM29" si="1">COUNTIF(F3:F28,"oui")</f>
        <v>2</v>
      </c>
      <c r="G29">
        <f t="shared" si="1"/>
        <v>2</v>
      </c>
      <c r="H29">
        <f t="shared" si="1"/>
        <v>1</v>
      </c>
      <c r="I29">
        <f t="shared" si="1"/>
        <v>3</v>
      </c>
      <c r="J29">
        <f t="shared" si="1"/>
        <v>1</v>
      </c>
      <c r="K29">
        <f t="shared" si="1"/>
        <v>4</v>
      </c>
      <c r="L29">
        <f t="shared" si="1"/>
        <v>2</v>
      </c>
      <c r="M29">
        <f t="shared" si="1"/>
        <v>1</v>
      </c>
      <c r="N29">
        <f t="shared" si="1"/>
        <v>1</v>
      </c>
      <c r="O29">
        <f t="shared" si="1"/>
        <v>1</v>
      </c>
      <c r="P29">
        <f t="shared" si="1"/>
        <v>5</v>
      </c>
      <c r="Q29">
        <f t="shared" si="1"/>
        <v>0</v>
      </c>
      <c r="R29">
        <f t="shared" si="1"/>
        <v>0</v>
      </c>
      <c r="S29">
        <f t="shared" si="1"/>
        <v>2</v>
      </c>
      <c r="T29">
        <f t="shared" si="1"/>
        <v>0</v>
      </c>
      <c r="U29">
        <f t="shared" si="1"/>
        <v>2</v>
      </c>
      <c r="V29">
        <f t="shared" si="1"/>
        <v>1</v>
      </c>
      <c r="W29">
        <f t="shared" si="1"/>
        <v>0</v>
      </c>
      <c r="X29">
        <f t="shared" si="1"/>
        <v>0</v>
      </c>
      <c r="Y29">
        <f t="shared" si="1"/>
        <v>2</v>
      </c>
      <c r="Z29">
        <f t="shared" si="1"/>
        <v>3</v>
      </c>
      <c r="AA29">
        <f t="shared" si="1"/>
        <v>0</v>
      </c>
      <c r="AB29">
        <f t="shared" si="1"/>
        <v>1</v>
      </c>
      <c r="AC29">
        <f t="shared" si="1"/>
        <v>1</v>
      </c>
      <c r="AD29">
        <f t="shared" si="1"/>
        <v>0</v>
      </c>
      <c r="AE29">
        <f t="shared" si="1"/>
        <v>2</v>
      </c>
      <c r="AF29">
        <f t="shared" si="1"/>
        <v>0</v>
      </c>
      <c r="AG29">
        <f t="shared" si="1"/>
        <v>0</v>
      </c>
      <c r="AH29">
        <f t="shared" si="1"/>
        <v>0</v>
      </c>
      <c r="AI29">
        <f t="shared" si="1"/>
        <v>0</v>
      </c>
      <c r="AJ29">
        <f t="shared" si="1"/>
        <v>0</v>
      </c>
      <c r="AK29">
        <f t="shared" si="1"/>
        <v>0</v>
      </c>
      <c r="AL29">
        <f t="shared" si="1"/>
        <v>0</v>
      </c>
      <c r="AM29">
        <f t="shared" si="1"/>
        <v>0</v>
      </c>
      <c r="AN29">
        <f t="shared" si="0"/>
        <v>0</v>
      </c>
    </row>
  </sheetData>
  <mergeCells count="9">
    <mergeCell ref="AB1:AE1"/>
    <mergeCell ref="AF1:AH1"/>
    <mergeCell ref="AI1:AM1"/>
    <mergeCell ref="E1:I1"/>
    <mergeCell ref="J1:M1"/>
    <mergeCell ref="N1:R1"/>
    <mergeCell ref="S1:U1"/>
    <mergeCell ref="V1:X1"/>
    <mergeCell ref="Y1:AA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E211CB-566B-49DD-8CD5-0F8F25DDA236}">
          <x14:formula1>
            <xm:f>src!$I$2:$I$3</xm:f>
          </x14:formula1>
          <xm:sqref>E3:AM14 E15:F15 H15:AM15 E16:AM28</xm:sqref>
        </x14:dataValidation>
        <x14:dataValidation type="list" allowBlank="1" showInputMessage="1" showErrorMessage="1" xr:uid="{93B39788-B8A5-4F2C-93DF-243513CFAFDE}">
          <x14:formula1>
            <xm:f>src!$H$2:$H$3</xm:f>
          </x14:formula1>
          <xm:sqref>C2:C29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86105F59AA7C14396007F0D8AF99EAA" ma:contentTypeVersion="18" ma:contentTypeDescription="Crée un document." ma:contentTypeScope="" ma:versionID="fd632b07a223b143072353ab8ae7e466">
  <xsd:schema xmlns:xsd="http://www.w3.org/2001/XMLSchema" xmlns:xs="http://www.w3.org/2001/XMLSchema" xmlns:p="http://schemas.microsoft.com/office/2006/metadata/properties" xmlns:ns2="c2eb94b6-4a92-45c3-9d95-3925ffdfadf2" xmlns:ns3="b5bf9363-e801-4a02-b0f4-4b8d1dc8533e" targetNamespace="http://schemas.microsoft.com/office/2006/metadata/properties" ma:root="true" ma:fieldsID="bf8e2bc7eb080414d5a829427886d094" ns2:_="" ns3:_="">
    <xsd:import namespace="c2eb94b6-4a92-45c3-9d95-3925ffdfadf2"/>
    <xsd:import namespace="b5bf9363-e801-4a02-b0f4-4b8d1dc8533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eb94b6-4a92-45c3-9d95-3925ffdfad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Location" ma:index="12" nillable="true" ma:displayName="Location" ma:internalName="MediaServiceLocation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Balises d’images" ma:readOnly="false" ma:fieldId="{5cf76f15-5ced-4ddc-b409-7134ff3c332f}" ma:taxonomyMulti="true" ma:sspId="22ee56af-56e7-4bf6-ba44-9fada68ca94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bf9363-e801-4a02-b0f4-4b8d1dc8533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7ece4c89-f5a9-4996-9181-5d01ebd22d1c}" ma:internalName="TaxCatchAll" ma:showField="CatchAllData" ma:web="b5bf9363-e801-4a02-b0f4-4b8d1dc8533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b5bf9363-e801-4a02-b0f4-4b8d1dc8533e">
      <UserInfo>
        <DisplayName/>
        <AccountId xsi:nil="true"/>
        <AccountType/>
      </UserInfo>
    </SharedWithUsers>
    <lcf76f155ced4ddcb4097134ff3c332f xmlns="c2eb94b6-4a92-45c3-9d95-3925ffdfadf2">
      <Terms xmlns="http://schemas.microsoft.com/office/infopath/2007/PartnerControls"/>
    </lcf76f155ced4ddcb4097134ff3c332f>
    <TaxCatchAll xmlns="b5bf9363-e801-4a02-b0f4-4b8d1dc8533e" xsi:nil="true"/>
  </documentManagement>
</p:properties>
</file>

<file path=customXml/itemProps1.xml><?xml version="1.0" encoding="utf-8"?>
<ds:datastoreItem xmlns:ds="http://schemas.openxmlformats.org/officeDocument/2006/customXml" ds:itemID="{6844E12F-82C9-41FA-A9F2-A020F5EFB92C}"/>
</file>

<file path=customXml/itemProps2.xml><?xml version="1.0" encoding="utf-8"?>
<ds:datastoreItem xmlns:ds="http://schemas.openxmlformats.org/officeDocument/2006/customXml" ds:itemID="{960BA0F7-0889-4E32-B92B-FF059A7986F5}"/>
</file>

<file path=customXml/itemProps3.xml><?xml version="1.0" encoding="utf-8"?>
<ds:datastoreItem xmlns:ds="http://schemas.openxmlformats.org/officeDocument/2006/customXml" ds:itemID="{AD6BE1B0-487B-4621-95D4-C964E83CE4F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Olivier BURCKER</dc:creator>
  <cp:keywords/>
  <dc:description/>
  <cp:lastModifiedBy>Olivier BURCKER</cp:lastModifiedBy>
  <cp:revision/>
  <dcterms:created xsi:type="dcterms:W3CDTF">2025-09-23T06:56:30Z</dcterms:created>
  <dcterms:modified xsi:type="dcterms:W3CDTF">2026-07-08T07:19:12Z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0x010100F86105F59AA7C14396007F0D8AF99EAA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