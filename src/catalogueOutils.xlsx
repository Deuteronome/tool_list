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e2cgrandlille.sharepoint.com/sites/E2CRessourcesPdagogiques/Documents partages/09 - Veille pédagogique/Cartographie des ressources/"/>
    </mc:Choice>
  </mc:AlternateContent>
  <xr:revisionPtr revIDLastSave="4426" documentId="11_DCACCF8653E46F1D1722EA100DC5B11B4C0ED36C" xr6:coauthVersionLast="47" xr6:coauthVersionMax="47" xr10:uidLastSave="{DBF04105-A697-4911-920A-6D568405D951}"/>
  <bookViews>
    <workbookView xWindow="0" yWindow="0" windowWidth="28800" windowHeight="12210" xr2:uid="{00000000-000D-0000-FFFF-FFFF00000000}"/>
  </bookViews>
  <sheets>
    <sheet name="catalogue" sheetId="1" r:id="rId1"/>
    <sheet name="TdB" sheetId="6" r:id="rId2"/>
    <sheet name="Socle (APC)" sheetId="7" r:id="rId3"/>
    <sheet name="Boite à outils (APC)" sheetId="8" r:id="rId4"/>
    <sheet name="Intégration SAS (APC)" sheetId="9" r:id="rId5"/>
    <sheet name="src" sheetId="2" r:id="rId6"/>
    <sheet name="Parcours Métier (APC)" sheetId="4" r:id="rId7"/>
  </sheets>
  <definedNames>
    <definedName name="_xlnm._FilterDatabase" localSheetId="2" hidden="1">'Socle (APC)'!$A$1:$AM$1</definedName>
    <definedName name="_xlnm._FilterDatabase" localSheetId="0" hidden="1">catalogue!$B$1:$W$383</definedName>
    <definedName name="_xlnm.Print_Area" localSheetId="1">TdB!$A:$D</definedName>
  </definedNames>
  <calcPr calcId="191028"/>
  <pivotCaches>
    <pivotCache cacheId="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6" i="1" l="1"/>
  <c r="A375" i="1"/>
  <c r="A374" i="1"/>
  <c r="A373" i="1"/>
  <c r="A372" i="1"/>
  <c r="A371" i="1"/>
  <c r="A370" i="1"/>
  <c r="A369" i="1"/>
  <c r="A368" i="1"/>
  <c r="A367" i="1"/>
  <c r="A362" i="1"/>
  <c r="A359" i="1"/>
  <c r="A358" i="1"/>
  <c r="A348" i="1"/>
  <c r="A346" i="1"/>
  <c r="A345" i="1"/>
  <c r="A329" i="1"/>
  <c r="A327" i="1"/>
  <c r="A326" i="1"/>
  <c r="A325" i="1"/>
  <c r="A324" i="1"/>
  <c r="A323" i="1"/>
  <c r="A322" i="1"/>
  <c r="A316" i="1"/>
  <c r="A307" i="1"/>
  <c r="A299" i="1"/>
  <c r="A297" i="1"/>
  <c r="A296" i="1"/>
  <c r="A295" i="1"/>
  <c r="A294" i="1"/>
  <c r="A293" i="1"/>
  <c r="A292" i="1"/>
  <c r="A291" i="1"/>
  <c r="A290" i="1"/>
  <c r="A289" i="1"/>
  <c r="A288" i="1"/>
  <c r="A287" i="1"/>
  <c r="A286" i="1"/>
  <c r="A123" i="1"/>
  <c r="A115" i="1"/>
  <c r="A114" i="1"/>
  <c r="A113" i="1"/>
  <c r="A112" i="1"/>
  <c r="A110" i="1"/>
  <c r="A109" i="1"/>
  <c r="A93" i="1"/>
  <c r="A81" i="1"/>
  <c r="A80" i="1"/>
  <c r="A79" i="1"/>
  <c r="A78" i="1"/>
  <c r="A77" i="1"/>
  <c r="A76" i="1"/>
  <c r="A75" i="1"/>
  <c r="A74" i="1"/>
  <c r="A73" i="1"/>
  <c r="A72" i="1"/>
  <c r="A71" i="1"/>
  <c r="A70" i="1"/>
  <c r="A69" i="1"/>
  <c r="A65" i="1"/>
  <c r="A64" i="1"/>
  <c r="A63" i="1"/>
  <c r="A62" i="1"/>
  <c r="A61" i="1"/>
  <c r="A60" i="1"/>
  <c r="A59" i="1"/>
  <c r="A58"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2" i="1"/>
  <c r="C34" i="7"/>
  <c r="C35" i="7"/>
  <c r="C36" i="7"/>
  <c r="C37" i="7"/>
  <c r="C38" i="7"/>
  <c r="C39" i="7"/>
  <c r="C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D41" i="7"/>
  <c r="AM28" i="9"/>
  <c r="AM29" i="9"/>
  <c r="AL30" i="9"/>
  <c r="AK30" i="9"/>
  <c r="AJ30" i="9"/>
  <c r="AI30" i="9"/>
  <c r="AH30" i="9"/>
  <c r="AG30" i="9"/>
  <c r="AF30" i="9"/>
  <c r="AE30" i="9"/>
  <c r="AD30" i="9"/>
  <c r="AC30" i="9"/>
  <c r="AB30" i="9"/>
  <c r="AA30" i="9"/>
  <c r="Z30" i="9"/>
  <c r="Y30" i="9"/>
  <c r="X30" i="9"/>
  <c r="W30" i="9"/>
  <c r="V30" i="9"/>
  <c r="U30" i="9"/>
  <c r="T30" i="9"/>
  <c r="S30" i="9"/>
  <c r="R30" i="9"/>
  <c r="Q30" i="9"/>
  <c r="P30" i="9"/>
  <c r="O30" i="9"/>
  <c r="N30" i="9"/>
  <c r="M30" i="9"/>
  <c r="L30" i="9"/>
  <c r="K30" i="9"/>
  <c r="J30" i="9"/>
  <c r="I30" i="9"/>
  <c r="H30" i="9"/>
  <c r="G30" i="9"/>
  <c r="F30" i="9"/>
  <c r="E30" i="9"/>
  <c r="D30" i="9"/>
  <c r="C29" i="9"/>
  <c r="AM9" i="9"/>
  <c r="C9" i="9"/>
  <c r="AM8" i="9"/>
  <c r="C8" i="9"/>
  <c r="AM27" i="8"/>
  <c r="AM28" i="8"/>
  <c r="AM29" i="8"/>
  <c r="AM30" i="8"/>
  <c r="C28" i="8"/>
  <c r="C29" i="8"/>
  <c r="C30" i="8"/>
  <c r="C27" i="8"/>
  <c r="C27" i="7"/>
  <c r="C28" i="7"/>
  <c r="AM14" i="8"/>
  <c r="AM15" i="8"/>
  <c r="AM16" i="8"/>
  <c r="AM17" i="8"/>
  <c r="AM18" i="8"/>
  <c r="AM19" i="8"/>
  <c r="C14" i="8"/>
  <c r="C15" i="8"/>
  <c r="C16" i="8"/>
  <c r="C17" i="8"/>
  <c r="C18" i="8"/>
  <c r="C19" i="8"/>
  <c r="AM25" i="8"/>
  <c r="C25" i="8"/>
  <c r="AM24" i="8"/>
  <c r="C24" i="8"/>
  <c r="AM3" i="8"/>
  <c r="AM4" i="8"/>
  <c r="AM5" i="8"/>
  <c r="AM6" i="8"/>
  <c r="AM7" i="8"/>
  <c r="AM8" i="8"/>
  <c r="AM9" i="8"/>
  <c r="AM10" i="8"/>
  <c r="AM11" i="8"/>
  <c r="AM12" i="8"/>
  <c r="AM13" i="8"/>
  <c r="AM20" i="8"/>
  <c r="AM21" i="8"/>
  <c r="AM22" i="8"/>
  <c r="AM23" i="8"/>
  <c r="AM26" i="8"/>
  <c r="AM31" i="8"/>
  <c r="C5" i="7"/>
  <c r="AM10" i="9"/>
  <c r="C10" i="9" s="1"/>
  <c r="AM11" i="9"/>
  <c r="C11" i="9" s="1"/>
  <c r="AM2" i="9"/>
  <c r="AM3" i="9"/>
  <c r="AM4" i="9"/>
  <c r="AM5" i="9"/>
  <c r="AM6" i="9"/>
  <c r="AM7" i="9"/>
  <c r="C28" i="9"/>
  <c r="C2" i="9"/>
  <c r="C3" i="9"/>
  <c r="C4" i="9"/>
  <c r="C5" i="9"/>
  <c r="C6" i="9"/>
  <c r="C7" i="9"/>
  <c r="AM30" i="9"/>
  <c r="AM27" i="9"/>
  <c r="C27" i="9"/>
  <c r="AM26" i="9"/>
  <c r="C26" i="9"/>
  <c r="AM25" i="9"/>
  <c r="C25" i="9"/>
  <c r="AM24" i="9"/>
  <c r="C24" i="9"/>
  <c r="AM23" i="9"/>
  <c r="C23" i="9"/>
  <c r="AM22" i="9"/>
  <c r="C22" i="9"/>
  <c r="AM21" i="9"/>
  <c r="C21" i="9"/>
  <c r="AM20" i="9"/>
  <c r="C20" i="9"/>
  <c r="AM19" i="9"/>
  <c r="C19" i="9"/>
  <c r="AM18" i="9"/>
  <c r="C18" i="9"/>
  <c r="AM17" i="9"/>
  <c r="C17" i="9"/>
  <c r="AM16" i="9"/>
  <c r="C16" i="9"/>
  <c r="AM15" i="9"/>
  <c r="C15" i="9"/>
  <c r="AM14" i="9"/>
  <c r="C14" i="9"/>
  <c r="AM13" i="9"/>
  <c r="C13" i="9"/>
  <c r="AM12" i="9"/>
  <c r="C12" i="9"/>
  <c r="C26" i="8"/>
  <c r="C23" i="8"/>
  <c r="AL32" i="8"/>
  <c r="AK32" i="8"/>
  <c r="AJ32" i="8"/>
  <c r="AI32" i="8"/>
  <c r="AH32" i="8"/>
  <c r="AG32" i="8"/>
  <c r="AF32" i="8"/>
  <c r="AE32" i="8"/>
  <c r="AD32" i="8"/>
  <c r="AC32" i="8"/>
  <c r="AB32" i="8"/>
  <c r="AA32" i="8"/>
  <c r="Z32" i="8"/>
  <c r="Y32" i="8"/>
  <c r="X32" i="8"/>
  <c r="W32" i="8"/>
  <c r="V32" i="8"/>
  <c r="U32" i="8"/>
  <c r="T32" i="8"/>
  <c r="S32" i="8"/>
  <c r="R32" i="8"/>
  <c r="Q32" i="8"/>
  <c r="P32" i="8"/>
  <c r="O32" i="8"/>
  <c r="N32" i="8"/>
  <c r="M32" i="8"/>
  <c r="L32" i="8"/>
  <c r="K32" i="8"/>
  <c r="J32" i="8"/>
  <c r="I32" i="8"/>
  <c r="H32" i="8"/>
  <c r="G32" i="8"/>
  <c r="F32" i="8"/>
  <c r="E32" i="8"/>
  <c r="D32" i="8"/>
  <c r="AM32" i="8" s="1"/>
  <c r="C31" i="8"/>
  <c r="C22" i="8"/>
  <c r="C21" i="8"/>
  <c r="C20" i="8"/>
  <c r="C13" i="8"/>
  <c r="C12" i="8"/>
  <c r="C11" i="8"/>
  <c r="C10" i="8"/>
  <c r="C9" i="8"/>
  <c r="C8" i="8"/>
  <c r="C7" i="8"/>
  <c r="C6" i="8"/>
  <c r="C5" i="8"/>
  <c r="C4" i="8"/>
  <c r="C3" i="8"/>
  <c r="AM2" i="8"/>
  <c r="C2" i="8"/>
  <c r="AM13" i="4"/>
  <c r="C13" i="4"/>
  <c r="AL22" i="4"/>
  <c r="AK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D22" i="4"/>
  <c r="AM22" i="4" s="1"/>
  <c r="AM21" i="4"/>
  <c r="C21" i="4"/>
  <c r="AM20" i="4"/>
  <c r="C20" i="4"/>
  <c r="AM19" i="4"/>
  <c r="C19" i="4"/>
  <c r="AM18" i="4"/>
  <c r="C18" i="4"/>
  <c r="AM17" i="4"/>
  <c r="C17" i="4"/>
  <c r="AM16" i="4"/>
  <c r="C16" i="4"/>
  <c r="AM15" i="4"/>
  <c r="C15" i="4"/>
  <c r="AM14" i="4"/>
  <c r="C14" i="4"/>
  <c r="AM12" i="4"/>
  <c r="C12" i="4"/>
  <c r="AM11" i="4"/>
  <c r="C11" i="4"/>
  <c r="AM10" i="4"/>
  <c r="C10" i="4"/>
  <c r="AM9" i="4"/>
  <c r="C9" i="4"/>
  <c r="AM8" i="4"/>
  <c r="C8" i="4"/>
  <c r="AM7" i="4"/>
  <c r="C7" i="4"/>
  <c r="AM6" i="4"/>
  <c r="C6" i="4"/>
  <c r="AM5" i="4"/>
  <c r="C5" i="4"/>
  <c r="AM4" i="4"/>
  <c r="C4" i="4"/>
  <c r="AM3" i="4"/>
  <c r="C3" i="4"/>
  <c r="AM2" i="4"/>
  <c r="C2" i="4"/>
  <c r="C21" i="7"/>
  <c r="C7" i="7"/>
  <c r="C15" i="7"/>
  <c r="C17" i="7"/>
  <c r="C14" i="7"/>
  <c r="C16" i="7"/>
  <c r="C18" i="7"/>
  <c r="C9" i="7"/>
  <c r="C13" i="7"/>
  <c r="C23" i="7"/>
  <c r="C26" i="7"/>
  <c r="C8" i="7"/>
  <c r="C29" i="7"/>
  <c r="C24" i="7"/>
  <c r="C2" i="7"/>
  <c r="C30" i="7"/>
  <c r="C25" i="7"/>
  <c r="C33" i="7"/>
  <c r="C31" i="7"/>
  <c r="C12" i="7"/>
  <c r="C32" i="7"/>
  <c r="C20" i="7"/>
  <c r="C4" i="7"/>
  <c r="C3" i="7"/>
  <c r="C6" i="7"/>
  <c r="C22" i="7"/>
  <c r="C11" i="7"/>
  <c r="C10" i="7"/>
  <c r="C1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tc={62A41FAD-34B5-4FB5-B4B3-73D5F86DC984}</author>
  </authors>
  <commentList>
    <comment ref="A19" authorId="0" shapeId="0" xr:uid="{62A41FAD-34B5-4FB5-B4B3-73D5F86DC984}">
      <text>
        <t>[Threaded comment]
Your version of Excel allows you to read this threaded comment; however, any edits to it will get removed if the file is opened in a newer version of Excel. Learn more: https://go.microsoft.com/fwlink/?linkid=870924
Comment:
    Je modifierai 3 séances : 
Brise glace : 5a
Stage ready : 7a
Portrait en image : 6c (à la place du 5c) 
Vous en pensez quoi?
Reply:
    un stage pourquoi comment, 4a
Reply:
    à la place du 6a</t>
      </text>
    </comment>
  </commentList>
</comments>
</file>

<file path=xl/sharedStrings.xml><?xml version="1.0" encoding="utf-8"?>
<sst xmlns="http://schemas.openxmlformats.org/spreadsheetml/2006/main" count="6762" uniqueCount="939">
  <si>
    <t>keycode</t>
  </si>
  <si>
    <t>Nom de l'outil</t>
  </si>
  <si>
    <t>programmation</t>
  </si>
  <si>
    <t>type de contenu</t>
  </si>
  <si>
    <t>étape parcours</t>
  </si>
  <si>
    <t>up2c-projet</t>
  </si>
  <si>
    <t>up2c-séquence</t>
  </si>
  <si>
    <t>Socle</t>
  </si>
  <si>
    <t>Créé dans Up2C</t>
  </si>
  <si>
    <t>A jour dans Up2C</t>
  </si>
  <si>
    <t>Besoin RH</t>
  </si>
  <si>
    <t>Besoin ordi</t>
  </si>
  <si>
    <t>besoin matériel</t>
  </si>
  <si>
    <t>modalité</t>
  </si>
  <si>
    <t>Autonomie</t>
  </si>
  <si>
    <t>Axe</t>
  </si>
  <si>
    <t>Sujet</t>
  </si>
  <si>
    <t>chemin_form</t>
  </si>
  <si>
    <t>chemin_stag</t>
  </si>
  <si>
    <t>A jour dans Sharepoint</t>
  </si>
  <si>
    <t>compétences</t>
  </si>
  <si>
    <t>Description</t>
  </si>
  <si>
    <t>Accueil référent</t>
  </si>
  <si>
    <t>planning</t>
  </si>
  <si>
    <t>Projet Professionnel</t>
  </si>
  <si>
    <t>toute étape</t>
  </si>
  <si>
    <t>Suivi individuel</t>
  </si>
  <si>
    <t>SOCLE</t>
  </si>
  <si>
    <t>oui</t>
  </si>
  <si>
    <t>1 Ref Péda</t>
  </si>
  <si>
    <t>mixte</t>
  </si>
  <si>
    <t>Dipositif</t>
  </si>
  <si>
    <t>06 - Accueil référés</t>
  </si>
  <si>
    <t>Préparation des démarches - accueil référés.docx</t>
  </si>
  <si>
    <t>non</t>
  </si>
  <si>
    <t>Séance d’accueil et de préparation des démarches permettant aux participants d’organiser leur semaine, de structurer leurs recherches de stage, d’emploi ou de formation et de mettre à jour leurs outils de suivi pour avancer dans leur projet professionnel.</t>
  </si>
  <si>
    <t>Entretien de recadrage</t>
  </si>
  <si>
    <t>hors-planning</t>
  </si>
  <si>
    <t>Socialisation</t>
  </si>
  <si>
    <t>individuel</t>
  </si>
  <si>
    <t>Activité culturelle</t>
  </si>
  <si>
    <t>collectif</t>
  </si>
  <si>
    <t>Culture</t>
  </si>
  <si>
    <t>Activités culturelles favorisant l’ouverture d’esprit, la curiosité et la découverte du patrimoine artistique et culturel à travers des ateliers, des visites et des rencontres avec des professionnels et des partenaires du territoire.</t>
  </si>
  <si>
    <t>Activité sportive</t>
  </si>
  <si>
    <t>Tenue de sport</t>
  </si>
  <si>
    <t>Sport</t>
  </si>
  <si>
    <t>Activités sportives favorisant le bien-être, la santé, l'esprit d'équipe et le dépassement de soi, tout en développant les compétences sociales, l'engagement et le respect des règles collectives.</t>
  </si>
  <si>
    <t>APC - Validation de compétences</t>
  </si>
  <si>
    <t>RP des jeunes</t>
  </si>
  <si>
    <t>-</t>
  </si>
  <si>
    <t>covalidation_competences_APC.docx</t>
  </si>
  <si>
    <t>0 (spécial)</t>
  </si>
  <si>
    <t>Atelier de co-validation des compétences permettant aux participants de verbaliser, argumenter et confirmer avec leur référent les compétences développées au cours de leur parcours, afin d'affiner leur autoévaluation et de valoriser leurs acquis.</t>
  </si>
  <si>
    <t>Bilan APC</t>
  </si>
  <si>
    <t>Autonomisation</t>
  </si>
  <si>
    <t>Bilan APC - progrès PIM</t>
  </si>
  <si>
    <t>DS Fiche bilan apc palier 3 et objectifs.docx</t>
  </si>
  <si>
    <t>Atelier de co-validation des compétences visant à reconnaître, argumenter et valoriser les acquis du participant à travers un échange avec son référent.</t>
  </si>
  <si>
    <t>Bilan de mi-parcours</t>
  </si>
  <si>
    <t>socle</t>
  </si>
  <si>
    <t>1 CMDPP</t>
  </si>
  <si>
    <t>J'explore</t>
  </si>
  <si>
    <t>Bilan mi parcours</t>
  </si>
  <si>
    <t>Bilan de mi Parcours.pdf</t>
  </si>
  <si>
    <t>Bilan de mi-parcours permettant aux participants de faire le point sur leur parcours, d'identifier leurs acquis, leurs compétences et les étapes déjà franchies, afin d'ajuster leur plan d'action et consolider leur projet professionnel ou de formation.</t>
  </si>
  <si>
    <t>Café de l'emploi</t>
  </si>
  <si>
    <t>Entreprise</t>
  </si>
  <si>
    <t>vidéo projecteur</t>
  </si>
  <si>
    <t>rencontre avec un professionnel permettant aux participants de découvrir un parcours inspirant, d'échanger sur la réalité d'un métier et de bénéficier de conseils pour construire leur projet professionnel.</t>
  </si>
  <si>
    <t>CPS 1 - Les qualités</t>
  </si>
  <si>
    <t>dispositif - CPS</t>
  </si>
  <si>
    <t>2 Ref Péda</t>
  </si>
  <si>
    <t>Valise CPS</t>
  </si>
  <si>
    <t>CPS</t>
  </si>
  <si>
    <t>SEANCES</t>
  </si>
  <si>
    <t>Livret CPS.pptx</t>
  </si>
  <si>
    <t>Atelier de développement des compétences psychosociales permettant aux participants d'identifier leurs qualités à partir de leurs expériences vécues, de renforcer l'estime de soi et de valoriser leurs ressources personnelles.</t>
  </si>
  <si>
    <t>CPS 2 - Les émotions</t>
  </si>
  <si>
    <t>Atelier de développement des compétences psychosociales permettant aux participants d'identifier et d'exprimer leurs émotions, de comprendre leurs impacts et de développer des stratégies adaptées pour mieux gérer les situations du quotidien.</t>
  </si>
  <si>
    <t>CPS 3 - les besoins</t>
  </si>
  <si>
    <t>Atelier de développement des compétences psychosociales permettant aux participants d'identifier leurs besoins essentiels, de distinguer besoins et envies et d'adopter des comportements adaptés pour mieux répondre à leurs besoins dans les situations du quotidien.</t>
  </si>
  <si>
    <t>Démarches de recherche de stage</t>
  </si>
  <si>
    <t>feuille de démarches</t>
  </si>
  <si>
    <t>Feuille de démarches.xlsx</t>
  </si>
  <si>
    <t>Feuille de suivi des démarches permettant aux participants de consigner et organiser leurs recherches de stage ou d'emploi, de suivre leurs contacts avec les entreprises et de structurer leurs actions avec l'accompagnement de leur référent.</t>
  </si>
  <si>
    <t>Entretien référent</t>
  </si>
  <si>
    <t>Guide du référent 032024.pptx</t>
  </si>
  <si>
    <t>Entretien individuel d'accompagnement permettant de faire le point sur le parcours du participant, d'identifier ses besoins, ses objectifs et ses démarches, tout en construisant un suivi personnalisé favorisant son autonomie et la réussite de son projet professionnel.</t>
  </si>
  <si>
    <t>EP3A - Création</t>
  </si>
  <si>
    <t>dispositif long</t>
  </si>
  <si>
    <t>principale</t>
  </si>
  <si>
    <t>dispositif - EP3A</t>
  </si>
  <si>
    <t>Internet / PaperBoard</t>
  </si>
  <si>
    <t>sous-groupe</t>
  </si>
  <si>
    <t>EP3A</t>
  </si>
  <si>
    <t>Etape 2- Recherche Création Partage 9H</t>
  </si>
  <si>
    <t>Activité de conception durant laquelle les participants élaborent un support pédagogique afin de transmettre les connaissances et méthodes acquises à partir de leurs recherches.</t>
  </si>
  <si>
    <t>EP3A - intro</t>
  </si>
  <si>
    <t>Etape 1- Introduction 3H</t>
  </si>
  <si>
    <t>Parcours d’apprentissage collaboratif invitant les participants à explorer des situations-problèmes, analyser leurs méthodes d’apprentissage et développer leur capacité à transmettre efficacement leurs connaissances aux autres.</t>
  </si>
  <si>
    <t>EP3A - Présentation</t>
  </si>
  <si>
    <t>Temps de restitution permettant aux participants de présenter leur travail, d'expliquer leur démarche et de vérifier la compréhension de leurs apprentissages par les autres membres du groupe.</t>
  </si>
  <si>
    <t>EP3A - Recherche</t>
  </si>
  <si>
    <t>Atelier permettant aux participants d'identifier une difficulté ou un obstacle personnel, puis de rechercher de manière autonome les ressources et informations nécessaires pour le comprendre et le résoudre.</t>
  </si>
  <si>
    <t>EP3A -Bilan</t>
  </si>
  <si>
    <t>Etape 3- Bilan</t>
  </si>
  <si>
    <t>Atelier de réflexion sur la compétence « apprendre à apprendre » permettant aux participants d'analyser leurs stratégies d'apprentissage, d'identifier les compétences mobilisées et de mieux comprendre leur propre processus d'acquisition des connaissances.</t>
  </si>
  <si>
    <t>Intelligences Multiples</t>
  </si>
  <si>
    <t>Connaissance de soi</t>
  </si>
  <si>
    <t>matériel spécifique</t>
  </si>
  <si>
    <t>Test_IM_adultes130105.pdf</t>
  </si>
  <si>
    <t>Atelier de découverte des intelligences multiples permettant aux participants d'identifier leurs points forts, de mieux comprendre leur façon d'apprendre et de mobiliser leurs ressources pour développer leur potentiel et gagner en efficacité dans leurs apprentissages.</t>
  </si>
  <si>
    <t>Intervention Organisme de formation</t>
  </si>
  <si>
    <t>Projet professionnel</t>
  </si>
  <si>
    <t>Présentation d’un organisme de formation permettant aux participants de découvrir des parcours qualifiants, les modalités d’accès aux formations et les débouchés professionnels associés, afin d'affiner leur projet d’orientation.</t>
  </si>
  <si>
    <t>Jury de validation</t>
  </si>
  <si>
    <t>CMO, CRA, Post E2C</t>
  </si>
  <si>
    <t>video-projecteur</t>
  </si>
  <si>
    <t>J'y vais</t>
  </si>
  <si>
    <t>Présentation de projet-Jury de validation.pdf</t>
  </si>
  <si>
    <t>Jury de validation du projet professionnel permettant aux participants de présenter leur parcours, leurs compétences, leurs motivations et leur projet d'avenir devant un jury, afin de démontrer la cohérence et la maturité de leur projet professionnel ou de formation.</t>
  </si>
  <si>
    <t>les contrats en alternance</t>
  </si>
  <si>
    <t>C Les contrats en alternance</t>
  </si>
  <si>
    <t>Quizz avant les recherches sur contrats en alternance.docx</t>
  </si>
  <si>
    <t>Atelier de découverte des contrats en alternance permettant aux participants de comprendre les différences entre le contrat d’apprentissage et le contrat de professionnalisation, afin de mieux identifier les dispositifs adaptés à leur projet professionnel.</t>
  </si>
  <si>
    <t>Livret de compétences - actualisation</t>
  </si>
  <si>
    <t>livrets des jeunes</t>
  </si>
  <si>
    <t>06 - Livret de compétence</t>
  </si>
  <si>
    <t>feuille_support.docx</t>
  </si>
  <si>
    <t>Atelier de création et de valorisation du livret de compétences permettant aux participants de retracer leur parcours, identifier leurs compétences, développer leur confiance en eux et s'entraîner à présenter leur projet professionnel de manière claire et convaincante.</t>
  </si>
  <si>
    <t>Préparation des démarches - lundi de l'emploi</t>
  </si>
  <si>
    <t>Séance de préparation des démarches de recherche de stage permettant aux participants d'organiser leurs actions, cibler les entreprises et centres de formation adaptés à leur projet, et préparer les outils nécessaires à leurs candidatures et prises de contact.</t>
  </si>
  <si>
    <t>Rencontre ton CRE- Je postule</t>
  </si>
  <si>
    <t>1 CRE</t>
  </si>
  <si>
    <t>REX - avant stage</t>
  </si>
  <si>
    <t>intégration</t>
  </si>
  <si>
    <t>dispositif - REX</t>
  </si>
  <si>
    <t>REX</t>
  </si>
  <si>
    <t>PREPA REX et REX</t>
  </si>
  <si>
    <t>Proposition REX.pptx</t>
  </si>
  <si>
    <t>Atelier de préparation au stage permettant aux participants d’identifier leurs objectifs d’apprentissage, les compétences à développer et les missions qu’ils souhaitent découvrir en entreprise.</t>
  </si>
  <si>
    <t>REX - Restitution</t>
  </si>
  <si>
    <t>Temps de restitution permettant aux participants de présenter leur expérience en entreprise, de partager les enseignements tirés de leur stage et d’échanger avec le groupe sur leur projet professionnel.</t>
  </si>
  <si>
    <t>REX- retour de stage</t>
  </si>
  <si>
    <t>Atelier de retour d’expérience permettant aux participants d’analyser les missions réalisées, d’identifier les compétences mobilisées et de prendre du recul sur les apprentissages acquis durant leur stage.</t>
  </si>
  <si>
    <t>RIASEC</t>
  </si>
  <si>
    <t>INTEGRATION</t>
  </si>
  <si>
    <t>10 - RIASEC</t>
  </si>
  <si>
    <t>DS - questionnaire RIASEC.docx</t>
  </si>
  <si>
    <t>Questionnaire RIASEC visant à identifier les centres d'intérêt, les motivations et les préférences professionnelles des participants.</t>
  </si>
  <si>
    <t>Séance A La Carte</t>
  </si>
  <si>
    <t>feuills de routes</t>
  </si>
  <si>
    <t>Cette activité favorise la connaissance de soi et aide à explorer des pistes d'orientation ou de projet professionnel adaptées à son profil.</t>
  </si>
  <si>
    <t>Simulation d'entretien</t>
  </si>
  <si>
    <t>1 pers. Ext</t>
  </si>
  <si>
    <t>Un bureau</t>
  </si>
  <si>
    <t>Simulations d'Entretiens.docx</t>
  </si>
  <si>
    <t>Simulation d’entretien d’embauche permettant aux participants de s’exercer dans des conditions proches du réel face à un professionnel, afin de valoriser leur parcours, renforcer leur aisance orale et préparer efficacement leurs futures candidatures.</t>
  </si>
  <si>
    <t>Enact'E2C 1 - Découvrir l’ESS &amp; les Objectifs de Développement Durable</t>
  </si>
  <si>
    <t>dispositif - EnactE2C</t>
  </si>
  <si>
    <t>BOITE A OUTIL</t>
  </si>
  <si>
    <t>1 Ref Péda + 1 animateur extérieur</t>
  </si>
  <si>
    <t>EnactE2C</t>
  </si>
  <si>
    <t>Atelier 1 - Enact_E2C présentation ODD ESS.pdf</t>
  </si>
  <si>
    <t>Enactus_carnet-ecole seconde chance-2025-PRINT-page a page.pdf</t>
  </si>
  <si>
    <t>Atelier de découverte des Objectifs de Développement Durable (ODD) et de l’Économie Sociale et Solidaire (ESS) permettant aux participants de réfléchir aux enjeux sociaux et environnementaux actuels et de s’initier à la conception de projets à impact positif sur leur territoire.</t>
  </si>
  <si>
    <t>Enact'E2C 2 -  Apprendre à se connaître &amp; Constituer les équipes projets</t>
  </si>
  <si>
    <t>Atelier 2 - Enact_E2C constitution des équipes.pdf</t>
  </si>
  <si>
    <t>Atelier de constitution d’équipe permettant aux participants d’identifier leurs qualités, leurs valeurs et leurs centres d’intérêt, afin de former des groupes de projet autour d’enjeux qui les mobilisent et de développer une dynamique collective. [Atelier 2...es équipes | PDF]</t>
  </si>
  <si>
    <t>Enact'E2C 3 - créativité</t>
  </si>
  <si>
    <t>Atelier 3 - Enact_E2C creativite.pdf</t>
  </si>
  <si>
    <t>Atelier de créativité permettant aux participants d’imaginer, concevoir et présenter un projet collectif à impact social ou environnemental, en mobilisant leur créativité, leur esprit d’équipe et leur capacité à transformer une problématique en solution concrète. [Atelier 3...creativite | PDF]</t>
  </si>
  <si>
    <t>Enact'E2c 4 - Visite d’une entreprise sociale (ESS)</t>
  </si>
  <si>
    <t>Atelier 4 - Enact_E2C visite ESS.pdf</t>
  </si>
  <si>
    <t>Visite d’une structure de l’Économie Sociale et Solidaire (ESS) permettant aux participants de découvrir le fonctionnement d’une entreprise à impact social, ses métiers, son modèle économique et les solutions qu’elle apporte aux enjeux de son territoire.</t>
  </si>
  <si>
    <t>Enact'E2C 5 - Prototypage : Donner forme au projet</t>
  </si>
  <si>
    <t>Atelier 5 - Enact_E2C prototypage.pdf</t>
  </si>
  <si>
    <t>Atelier de prototypage permettant aux participants de transformer leur idée en projet concret à travers la création d'une maquette ou d'un storyboard, tout en développant leur capacité à présenter et défendre leur solution devant un groupe.</t>
  </si>
  <si>
    <t>Enact'E2C 6 - Enquête &amp; Immersion terrain : Comprendre les utilisateurs</t>
  </si>
  <si>
    <t>Atelier 6 - Enact_E2C enquete immersion terrain.pdf</t>
  </si>
  <si>
    <t>Atelier d’enquête et d’immersion terrain permettant aux participants de confronter leur projet à des utilisateurs, des professionnels ou des partenaires, afin de recueillir des retours concrets, mieux comprendre les besoins du terrain et améliorer leur solution.</t>
  </si>
  <si>
    <t>Enact'E2C 7 - Construire le modèle économique du projet</t>
  </si>
  <si>
    <t>Atelier 7 - Enact_E2C modèle éco.pdf</t>
  </si>
  <si>
    <t>Atelier de construction du modèle économique permettant aux participants de structurer leur projet, d'identifier les ressources, partenaires et moyens nécessaires à sa réalisation, tout en réfléchissant à sa viabilité économique et à son impact social ou environnemental.</t>
  </si>
  <si>
    <t>Enact'E2C 8 - Budget &amp; Synthèse du projet</t>
  </si>
  <si>
    <t>Atelier 8 - Enact_E2C budget et synthèse.pdf</t>
  </si>
  <si>
    <t>Atelier de construction budgétaire permettant aux participants d'estimer les coûts, les ressources et la viabilité de leur projet, afin de comprendre les réalités économiques d'une initiative et de préparer sa mise en œuvre concrète.</t>
  </si>
  <si>
    <t>Enact'E2C 9 - Présentation orale : Préparer et réussir le pitch du projet</t>
  </si>
  <si>
    <t>Atelier 9 - Enact_E2C présentation orale.pdf</t>
  </si>
  <si>
    <t>Atelier de préparation à la présentation orale permettant aux participants de structurer et valoriser leur projet, de développer leur aisance à l'oral et de s'entraîner à convaincre un public grâce à des mises en situation et des exercices de prise de parole.</t>
  </si>
  <si>
    <t>Enact'E2C 10 - À la carte : Finalisation &amp; Préparation au mini‑forum</t>
  </si>
  <si>
    <t>Atelier 10 - Enact_E2C à la carte.pdf</t>
  </si>
  <si>
    <t>Atelier de finalisation de projet permettant aux participants d'améliorer leur prototype, leur présentation et leur argumentation, tout en consolidant le travail collectif réalisé avant la restitution finale devant un public.</t>
  </si>
  <si>
    <t>enact'E2C 11 - Mini‑Forum : Présentation finale des projets</t>
  </si>
  <si>
    <t>Atelier 11 - Enact_E2C mini forum.pdf</t>
  </si>
  <si>
    <t>Mini-forum Enact'E2C permettant aux participants de présenter et défendre leur projet devant des professionnels, de valoriser le travail réalisé tout au long du parcours et de bénéficier de retours constructifs sur leur démarche et leurs idées.</t>
  </si>
  <si>
    <t>Enact E2C - Bilan  : valoriser les apprentissages &amp; clôturer le parcours</t>
  </si>
  <si>
    <t>Atelier 12 - Guide danimation - Bilan.pdf</t>
  </si>
  <si>
    <t>Atelier de bilan du parcours Enact'E2C permettant aux participants d'identifier les compétences développées, de valoriser leur engagement dans un projet collectif et de mettre en avant cette expérience dans leur parcours de formation ou professionnel.</t>
  </si>
  <si>
    <t>Atelier mémoire 1</t>
  </si>
  <si>
    <t>RAN</t>
  </si>
  <si>
    <t>Vidéo-projecteur</t>
  </si>
  <si>
    <t>Atelier 1</t>
  </si>
  <si>
    <t>Fiche stagiaire - atelier mémoire 1.doc</t>
  </si>
  <si>
    <t>Atelier de découverte de la mémoire permettant d'identifier son mode d'apprentissage dominant (visuel, auditif ou kinesthésique) et d'expérimenter des techniques de mémorisation pour améliorer ses apprentissages.</t>
  </si>
  <si>
    <t>SFC</t>
  </si>
  <si>
    <t>01 - SFC</t>
  </si>
  <si>
    <t>liste SFC.pdf</t>
  </si>
  <si>
    <t>Atelier sur les savoir-faire comportementaux (SFC) permettant aux participants d'identifier, analyser et valoriser leurs comportements professionnels, tout en définissant des axes de progression pour renforcer les compétences attendues en formation et en entreprise.</t>
  </si>
  <si>
    <t>Les représentations (version courte)</t>
  </si>
  <si>
    <t>11 - Les représentations (version courte)</t>
  </si>
  <si>
    <t>DS - bilan communication et représentations.docx</t>
  </si>
  <si>
    <t>Atelier sur la communication et les représentations permettant aux participants de prendre conscience des mécanismes de la communication, de l'influence des préjugés et de la subjectivité dans nos perceptions, tout en développant leur écoute, leur argumentation et leur capacité à travailler avec des points de vue différents.</t>
  </si>
  <si>
    <t>Les représentations (version longue)</t>
  </si>
  <si>
    <t>vidéo-projecteur</t>
  </si>
  <si>
    <t>11 - Les représentations (version longue)</t>
  </si>
  <si>
    <t>Atelier sur les représentations et la communication permettant aux participants d’identifier leurs schémas de pensée, de prendre conscience de l’influence de leurs perceptions sur leurs jugements et de développer leur capacité à argumenter et à comprendre différents points de vue.</t>
  </si>
  <si>
    <t>Portrait en image</t>
  </si>
  <si>
    <t>00 - portrait en image (livrable de la période d'intégration)</t>
  </si>
  <si>
    <t>Mon portrait en image-docStagiaire.docx</t>
  </si>
  <si>
    <t>Activité d'expression personnelle invitant les participants à créer un portrait en images pour présenter leur personnalité, leurs centres d'intérêt, leurs valeurs et leurs aspirations. Cette réalisation favorise la connaissance de soi, la valorisation de son parcours et l'échange avec son référent.</t>
  </si>
  <si>
    <t>CPS Intro</t>
  </si>
  <si>
    <t>jeux</t>
  </si>
  <si>
    <t>atelier 1 Intro</t>
  </si>
  <si>
    <t>DS-Livret CPS.pdf</t>
  </si>
  <si>
    <t>Atelier d'introduction aux compétences psychosociales permettant d'identifier ses besoins essentiels, de distinguer besoins et envies, et de développer la connaissance de soi à travers des activités de réflexion et d'échange.</t>
  </si>
  <si>
    <t>CV</t>
  </si>
  <si>
    <t>https://e2cgrandlille.sharepoint.com/:w:/s/E2CRessourcesPdagogiques/EWQTlXhEV4xDjq3SxVB8qzABr3d90n1EdDtmaY5LDPi1ZQ?e=XVHvVj</t>
  </si>
  <si>
    <t>Atelier de création de CV permettant aux participants d'identifier les informations essentielles à valoriser et de réaliser un CV professionnel adapté à leur recherche de stage ou d'emploi à l'aide d'un outil numérique.</t>
  </si>
  <si>
    <t>Lettre de motivation</t>
  </si>
  <si>
    <t>DF_lettre_de_motivation__.docx</t>
  </si>
  <si>
    <t>Atelier de rédaction de lettre de motivation permettant aux participants de comprendre les attentes des recruteurs et de concevoir une candidature personnalisée pour une recherche de stage, en valorisant leurs motivations, compétences et projet professionnel.</t>
  </si>
  <si>
    <t>Immersion centre de formation</t>
  </si>
  <si>
    <t>Stage de découverte</t>
  </si>
  <si>
    <t>Stage de validation de projet</t>
  </si>
  <si>
    <t>Stage d'acquisition de compétences</t>
  </si>
  <si>
    <t>Stage de pré embauche</t>
  </si>
  <si>
    <t>Stage Ready</t>
  </si>
  <si>
    <t>CRE + partenaire</t>
  </si>
  <si>
    <t>Stage Ready - préparer ses premières démarches.docx</t>
  </si>
  <si>
    <t>Atelier de préparation à la recherche de stage permettant aux participants d'améliorer leur CV, leur lettre de motivation et leur présentation orale grâce aux conseils d'un professionnel et à des simulations d'entretien.</t>
  </si>
  <si>
    <t>Un stage, pourquoi, comment?</t>
  </si>
  <si>
    <t>07 - Un stage pourquoi comment</t>
  </si>
  <si>
    <t>un stage pourquoi comment fiche stagiaire.doc</t>
  </si>
  <si>
    <t>Atelier préparant les participants à leur première recherche de stage en leur permettant de comprendre les enjeux du stage, d'organiser leurs démarches auprès des entreprises et d'adopter une posture professionnelle adaptée.</t>
  </si>
  <si>
    <t>Se présenter en entreprise</t>
  </si>
  <si>
    <t>2. LA PRESENTATION EN ENTREPRISE</t>
  </si>
  <si>
    <t>DS je me présente en entreprise.doc</t>
  </si>
  <si>
    <t>Atelier de simulation d'entretien permettant aux participants de s'entraîner à se présenter face à un employeur dans le cadre d'une recherche de stage, afin de développer leur aisance orale et leur posture professionnelle.</t>
  </si>
  <si>
    <t>Stagiaire en or</t>
  </si>
  <si>
    <t>13 - Le stagiaire en or</t>
  </si>
  <si>
    <t>Jeu pédagogique collaboratif permettant d'identifier les attitudes professionnelles attendues en entreprise à travers des mises en situation, tout en développant l'esprit d'équipe, l'argumentation et les compétences psychosociales.</t>
  </si>
  <si>
    <t>Métiers en tension</t>
  </si>
  <si>
    <t>C - Les métiers en tension</t>
  </si>
  <si>
    <t>DS - Les métiers en tension.pdf</t>
  </si>
  <si>
    <t>Atelier de découverte des métiers en tension permettant aux participants d'explorer les secteurs qui recrutent, d'identifier des opportunités en lien avec leur projet professionnel et de préparer des démarches concrètes vers l'emploi ou la formation.</t>
  </si>
  <si>
    <t>Le tenue professionnelle</t>
  </si>
  <si>
    <t>16 - Tenue Professionnelle</t>
  </si>
  <si>
    <t>DS - Tenue professionnelle.docx</t>
  </si>
  <si>
    <t>Atelier de sensibilisation aux codes vestimentaires en milieu professionnel permettant d'adapter sa tenue aux différents contextes de travail tout en conciliant professionnalisme, confiance en soi et expression de sa personnalité.</t>
  </si>
  <si>
    <t>Forum PP</t>
  </si>
  <si>
    <t>positionnement</t>
  </si>
  <si>
    <t>3 Ref Péda</t>
  </si>
  <si>
    <t>kit + vidéo projecteur</t>
  </si>
  <si>
    <t>01 - Valise Forum PP</t>
  </si>
  <si>
    <t>Forum d'orientation permettant aux participants d'explorer différents niveaux de maturité de leur projet professionnel, de découvrir des métiers et de choisir un parcours d'accompagnement adapté à leurs besoins et à leurs objectifs.</t>
  </si>
  <si>
    <t>Introduction Parcoureo</t>
  </si>
  <si>
    <t>jeu concept</t>
  </si>
  <si>
    <t>03 - Intro Parcoureo + concept</t>
  </si>
  <si>
    <t>Atelier de découverte de Parcouréo permettant aux participants d'explorer les métiers, d'identifier leurs centres d'intérêt et de construire progressivement leur projet professionnel à l'aide d'outils numériques d'orientation.</t>
  </si>
  <si>
    <t>Signature du suivi post-E2C</t>
  </si>
  <si>
    <t>sortie</t>
  </si>
  <si>
    <t>Entretien de suivi Post-E2C</t>
  </si>
  <si>
    <t>post-sortie</t>
  </si>
  <si>
    <t>Evaluation de stage</t>
  </si>
  <si>
    <t>Tests de positionnment</t>
  </si>
  <si>
    <t>Remise à niveau</t>
  </si>
  <si>
    <t>4.Process RAN V2 - positionnement et suivi.docx</t>
  </si>
  <si>
    <t>Processus de Remise à Niveau (RAN) permettant aux participants de définir des objectifs personnalisés, de suivre leur progression et d'évaluer le développement de leurs compétences à travers un parcours individualisé sur Up2C.</t>
  </si>
  <si>
    <t>PIM Socialisation</t>
  </si>
  <si>
    <t>1 Chargé Soc / 1 ref péda</t>
  </si>
  <si>
    <t xml:space="preserve">Vidéo-projecteur, matériel de sport </t>
  </si>
  <si>
    <t>04-PIM socialisation</t>
  </si>
  <si>
    <t>PIM Socialisation : atelier collectif favorisant l'intégration des participants à travers des activités culturelles, sportives et linguistiques, afin de développer la communication, l'esprit d'équipe, l'ouverture culturelle et l'adaptation au cadre collectif.</t>
  </si>
  <si>
    <t>Dilemme</t>
  </si>
  <si>
    <t>jeu dilemme</t>
  </si>
  <si>
    <t>Budget</t>
  </si>
  <si>
    <t>DILEMME</t>
  </si>
  <si>
    <t>atelier ludique de gestion budgétaire permettant aux participants de comprendre les enjeux de la vie financière quotidienne, de prendre des décisions face à des situations concrètes et de développer leur capacité à gérer un budget de manière responsable.</t>
  </si>
  <si>
    <t>Premier contact APC</t>
  </si>
  <si>
    <t>kit Séance</t>
  </si>
  <si>
    <t>02 - mise en contact APC</t>
  </si>
  <si>
    <t>Atelier d'appropriation du référentiel de compétences E2C permettant aux participants d'identifier les compétences mobilisées dans des situations concrètes, de définir leurs objectifs de progression et de s'initier à l'autoévaluation sur Up2C.</t>
  </si>
  <si>
    <t>Accueil- brise glace</t>
  </si>
  <si>
    <t>000- Séance accueil - brisons la glace</t>
  </si>
  <si>
    <t>DS - brisons la glace.docx</t>
  </si>
  <si>
    <t>Atelier d'intégration favorisant la cohésion de groupe et la connaissance mutuelle à travers des activités ludiques, tout en permettant aux participants d'identifier leurs besoins, leurs objectifs et les axes de progression de leur parcours à l'E2C.</t>
  </si>
  <si>
    <t>Livret de compétences - création</t>
  </si>
  <si>
    <t>portes-vues</t>
  </si>
  <si>
    <t>Dossier d'inscription</t>
  </si>
  <si>
    <t>assistante pédagogique</t>
  </si>
  <si>
    <t>0.Doc_Administratifs_SAS.docx</t>
  </si>
  <si>
    <t>Activité d'accueil et de constitution du dossier administratif permettant aux participants de vérifier, rassembler et compléter les documents nécessaires à leur entrée en formation, en fonction de leur situation personnelle et administrative.</t>
  </si>
  <si>
    <t>Simulation globale - bloc 1 - contexte</t>
  </si>
  <si>
    <t>dispositif - Simulation globale</t>
  </si>
  <si>
    <t>2-3 ref péda</t>
  </si>
  <si>
    <t>Simulation globale</t>
  </si>
  <si>
    <t>Bloc 1 - contexte</t>
  </si>
  <si>
    <t>Simulation globale autour d’un projet d’habitat collectif permettant aux participants d’explorer leur projet professionnel à travers la création d’une identité fictive, des choix collectifs, des situations de vie concrètes et une réflexion sur les métiers, les compétences, la mobilité et leur avenir professionnel.</t>
  </si>
  <si>
    <t>Simulation globale - bloc 2 - environnement de travail</t>
  </si>
  <si>
    <t>bloc 2 - environnement</t>
  </si>
  <si>
    <t>simulation collective permettant aux participants d’explorer leur environnement professionnel en identifiant les métiers en tension, les entreprises et services présents sur un territoire, puis en imaginant et aménageant un cadre de vie favorisant l'emploi, les services aux habitants et le développement local.</t>
  </si>
  <si>
    <t>Simulation globale - bloc 3 - recrutement</t>
  </si>
  <si>
    <t>bloc 3 - recrutement</t>
  </si>
  <si>
    <t>simulation immersive permettant aux participants d'adopter la posture d'un recruteur en analysant des métiers, créant des offres d'emploi, préparant des entretiens et conduisant un speed dating professionnel afin de mieux comprendre les attentes des employeurs et les processus de recrutement.</t>
  </si>
  <si>
    <t>Simulation globale - bloc 4 - speedRH</t>
  </si>
  <si>
    <t>bloc 4 - speed RH</t>
  </si>
  <si>
    <t>DS- Simu Globale - PP - Jour 2 - Atelier 9.docx</t>
  </si>
  <si>
    <t>Recrutement et rencontre professionnelle : simulation de recrutement permettant aux participants de conduire des entretiens, d'évaluer des candidatures et d'échanger avec des professionnels, afin de développer leur compréhension des attentes des employeurs, leur posture professionnelle et leur réseau.</t>
  </si>
  <si>
    <t>Simulation globale - bloc 5 - crémaillerez--vous?</t>
  </si>
  <si>
    <t>bloc 5 - crémallère</t>
  </si>
  <si>
    <t>DS_Atelier10_Cremaillere.docx</t>
  </si>
  <si>
    <t>Organisation d'événement et valorisation du parcours : simulation collective permettant aux participants de concevoir, organiser et animer un événement de restitution, afin de valoriser les réalisations du projet, développer leurs compétences en gestion de projet, communication, travail d'équipe et prise de parole devant un public.</t>
  </si>
  <si>
    <t>Simulation globale - bloc 6 - restitution</t>
  </si>
  <si>
    <t>bloc 6 - restitution</t>
  </si>
  <si>
    <t>Restitution et valorisation du projet : événement de clôture permettant aux participants de présenter les réalisations issues de la simulation globale, d'échanger avec des professionnels et de valoriser les compétences développées à travers une mise en situation professionnelle réelle</t>
  </si>
  <si>
    <t>Ambitions persos/pros</t>
  </si>
  <si>
    <t>Banque des métiers</t>
  </si>
  <si>
    <t xml:space="preserve">Je pense que tu es </t>
  </si>
  <si>
    <t>Le village</t>
  </si>
  <si>
    <t>s'informer, toujours au pluriel</t>
  </si>
  <si>
    <t>intérets perso et pro</t>
  </si>
  <si>
    <t>Résignation apprise acquise</t>
  </si>
  <si>
    <t>le rudologue</t>
  </si>
  <si>
    <t>argumenter oui mais… et si</t>
  </si>
  <si>
    <t>Qu'est-ce que le travail</t>
  </si>
  <si>
    <t>Je n'aime pas, je n'aime pas</t>
  </si>
  <si>
    <t>Job Coaching</t>
  </si>
  <si>
    <t>1 CRE + 1 intervenant</t>
  </si>
  <si>
    <t>Job Coaching : rencontre avec des professionnels permettant aux participants de bénéficier de conseils personnalisés, d'améliorer leurs techniques de recherche de stage ou d'emploi, de s'entraîner à présenter leur candidature et de développer leur réseau professionnel.</t>
  </si>
  <si>
    <t>Mes préférences</t>
  </si>
  <si>
    <t>Se former, chacun sa route…</t>
  </si>
  <si>
    <t>Les 5 mots clés de mon métier</t>
  </si>
  <si>
    <t>Service RH - entretiens</t>
  </si>
  <si>
    <t>L'héritage</t>
  </si>
  <si>
    <t>Entretiens : truc et astuces</t>
  </si>
  <si>
    <t>Relance téléphonique</t>
  </si>
  <si>
    <t>LM de préembauche</t>
  </si>
  <si>
    <t>Mes outils de recherche d'emploi</t>
  </si>
  <si>
    <t>Se présenter en 3 minutes</t>
  </si>
  <si>
    <t>Les SFC de mon métier</t>
  </si>
  <si>
    <t>Mobilité professionnel et géographique</t>
  </si>
  <si>
    <t>Mes axes de progrès</t>
  </si>
  <si>
    <t>Recherche de formation</t>
  </si>
  <si>
    <t>Mes qualités</t>
  </si>
  <si>
    <t>Mes valeurs</t>
  </si>
  <si>
    <t>CI - Mes valeurs</t>
  </si>
  <si>
    <t>DSI - Mes valeurs.docx</t>
  </si>
  <si>
    <t>Atelier d’identification des valeurs personnelles permettant aux participants de mieux se connaître, de repérer ce qui les motive au quotidien et de faire le lien entre leurs valeurs, leur projet professionnel et les valeurs portées par les entreprises.</t>
  </si>
  <si>
    <t>Candidature spontanée</t>
  </si>
  <si>
    <t>CI - Candidature spontanée</t>
  </si>
  <si>
    <t>CI - Candidature spontanée.docx</t>
  </si>
  <si>
    <t>Atelier de candidature spontanée permettant aux participants d’identifier et cibler des entreprises en lien avec leur projet, de rechercher des informations pertinentes sur leur environnement professionnel et de rédiger une lettre de motivation personnalisée valorisant leurs compétences et leur motivation.</t>
  </si>
  <si>
    <t>Réseaux sociaux</t>
  </si>
  <si>
    <t>ça recrute</t>
  </si>
  <si>
    <t>1 Ref²</t>
  </si>
  <si>
    <t>CI - ça recrute</t>
  </si>
  <si>
    <t>DSI - ça recrute.pdf</t>
  </si>
  <si>
    <t>Atelier d’exploration du marché de l’emploi permettant aux participants d’analyser les opportunités de recrutement liées à leur projet professionnel, d’identifier les métiers en tension ou concurrencés et d’adapter leur stratégie de recherche d’emploi ou de formation en fonction des réalités du marché.</t>
  </si>
  <si>
    <t>La répartition de mon temps</t>
  </si>
  <si>
    <t>02 - La répartition de mon temps</t>
  </si>
  <si>
    <t>tableau_répartition_du_temps.xlsx</t>
  </si>
  <si>
    <t>Atelier de gestion du temps permettant aux participants d’analyser la répartition de leurs activités quotidiennes, d’identifier leurs priorités et de réfléchir à des leviers d’organisation pour mieux atteindre leurs objectifs personnels et professionnels.</t>
  </si>
  <si>
    <t>Election des représentants des stagiaires</t>
  </si>
  <si>
    <t>Citoyenneté</t>
  </si>
  <si>
    <t>Modèle PV élections de délégués stagiaires.docx</t>
  </si>
  <si>
    <t>Élection des délégués stagiaires permettant aux participants de désigner leurs représentants, de s'initier à la vie démocratique et de favoriser l'expression collective au sein de la formation.</t>
  </si>
  <si>
    <t>Enquête métiers/formations</t>
  </si>
  <si>
    <t>J'ai des idées</t>
  </si>
  <si>
    <t>07 - Enquête métier ou formation</t>
  </si>
  <si>
    <t>DS Enquête métier.pptx</t>
  </si>
  <si>
    <t>Atelier d’enquête métier permettant aux participants de préparer et réaliser une rencontre avec un professionnel afin de mieux comprendre un métier, confronter leurs représentations à la réalité du terrain et enrichir leur projet professionnel grâce à des témoignages concrets.</t>
  </si>
  <si>
    <t>Découverte métiers et conditions de travail</t>
  </si>
  <si>
    <t>Mes représentations sur les environnement de travail</t>
  </si>
  <si>
    <t>Retour RIASEC</t>
  </si>
  <si>
    <t>Pitcher mon projet</t>
  </si>
  <si>
    <t>Préparation Jury de validation</t>
  </si>
  <si>
    <t>Le vocabulaire de mon métier</t>
  </si>
  <si>
    <t>Réponse à une offre</t>
  </si>
  <si>
    <t>A chacun sa part</t>
  </si>
  <si>
    <t>DS - A chacun sa part.docx</t>
  </si>
  <si>
    <t>Atelier de connaissance de soi permettant aux participants d’analyser les facteurs qui influencent les événements de leur vie, d’identifier leur part de responsabilité dans les situations vécues et de développer leur capacité à agir sur leur parcours personnel et professionnel.</t>
  </si>
  <si>
    <t>Les rôles dans les groupes</t>
  </si>
  <si>
    <t>Oser s'exprimer</t>
  </si>
  <si>
    <t>Organiser ses idées</t>
  </si>
  <si>
    <t>Faire une synthèse</t>
  </si>
  <si>
    <t>Adapter son expression</t>
  </si>
  <si>
    <t>Expliquer</t>
  </si>
  <si>
    <t>Argumenter</t>
  </si>
  <si>
    <t>S'exprimer et communiquer</t>
  </si>
  <si>
    <t>Préparation forum emploi</t>
  </si>
  <si>
    <t>forum emploi</t>
  </si>
  <si>
    <t>présent - premier groupe</t>
  </si>
  <si>
    <t>présent - infinitif en IR</t>
  </si>
  <si>
    <t>présent - 3ème groupe</t>
  </si>
  <si>
    <t>présent - méthode simplifiée</t>
  </si>
  <si>
    <t>présent - évaluation 1 - verbes utilisés à l'oral</t>
  </si>
  <si>
    <t>présent - évaluation 2 - verbes utilisés à l'écrit</t>
  </si>
  <si>
    <t>présent - évaluation générale -verbes utilisés à l'oral</t>
  </si>
  <si>
    <t>présent - évaluation générale -verbes utilisés à l'écrit</t>
  </si>
  <si>
    <t>imparfait - exercices</t>
  </si>
  <si>
    <t>imparfait - évaluation 1</t>
  </si>
  <si>
    <t>imparfait - évaluation 2</t>
  </si>
  <si>
    <t>futur simple - exercices 0</t>
  </si>
  <si>
    <t>futur simple - exercices 1</t>
  </si>
  <si>
    <t>futur simple - exercices 2</t>
  </si>
  <si>
    <t>futur simple - évaluation</t>
  </si>
  <si>
    <t>ponctuation - exercices 1</t>
  </si>
  <si>
    <t>ponctuation - exercices 2</t>
  </si>
  <si>
    <t>ponctuation - évaluation</t>
  </si>
  <si>
    <t>passé composé - exercices</t>
  </si>
  <si>
    <t>passé composé - évaluation</t>
  </si>
  <si>
    <t>vocabulaire - exercices</t>
  </si>
  <si>
    <t>vocabulaire - évaluation</t>
  </si>
  <si>
    <t>consigne - exercices</t>
  </si>
  <si>
    <t>consigne - évaluation</t>
  </si>
  <si>
    <t>accords - exercices</t>
  </si>
  <si>
    <t>accords - évaluations</t>
  </si>
  <si>
    <t>synonymes - préfixes - suffixes - exercices</t>
  </si>
  <si>
    <t>synonymes - préfixes - suffixes - évaluations</t>
  </si>
  <si>
    <t>homonymes - homophones - homographes - exercices</t>
  </si>
  <si>
    <t>homonymes - homophones - homographes - ne pas confondre...</t>
  </si>
  <si>
    <t>homonymes - homophones - homographes - évaluation</t>
  </si>
  <si>
    <t>négation</t>
  </si>
  <si>
    <t>phrase négative</t>
  </si>
  <si>
    <t>phrase intérrogative</t>
  </si>
  <si>
    <t>interrogation et négation - évaluation</t>
  </si>
  <si>
    <t>connecteurs logiques - exercices</t>
  </si>
  <si>
    <t>connecteurs logiques - outils</t>
  </si>
  <si>
    <t>connecteurs logiques - évaluation</t>
  </si>
  <si>
    <t>adapter son discours</t>
  </si>
  <si>
    <t>registres de langue - évaluation</t>
  </si>
  <si>
    <t>EXTHEX</t>
  </si>
  <si>
    <t>Word - produire une lettre</t>
  </si>
  <si>
    <t>Word -mise en page - évaluation</t>
  </si>
  <si>
    <t>Word - CV</t>
  </si>
  <si>
    <t>Word - CV à corriger - évaluation 1</t>
  </si>
  <si>
    <t>Word - CV check list - évaluation 2</t>
  </si>
  <si>
    <t>Word - saisir, imprimer, enregistrer</t>
  </si>
  <si>
    <t>Word - paramétrer</t>
  </si>
  <si>
    <t>Word - msie en forme de texte</t>
  </si>
  <si>
    <t>Word - Interlignes et espacements</t>
  </si>
  <si>
    <t>Word - retraits de paragraphes</t>
  </si>
  <si>
    <t>Word - utiliser les tabulations</t>
  </si>
  <si>
    <t>Word - insérer un tableau</t>
  </si>
  <si>
    <t>Word - mettre en forme un tableau</t>
  </si>
  <si>
    <t>Word - insérer un média</t>
  </si>
  <si>
    <t>Word - modifier un texte</t>
  </si>
  <si>
    <t>Word - vérifier et corriger un texte</t>
  </si>
  <si>
    <t>Word - listes, symboles et caractères spéciaux</t>
  </si>
  <si>
    <t>Word - bordures et trames</t>
  </si>
  <si>
    <t>Word - mise en page en colonnes</t>
  </si>
  <si>
    <t>Word - modèles de documents</t>
  </si>
  <si>
    <t>Word - formulaire</t>
  </si>
  <si>
    <t>Word - gérer un document long</t>
  </si>
  <si>
    <t>Excel - concevoir et utiliser un tableau</t>
  </si>
  <si>
    <t>Excel - budget - évaluation</t>
  </si>
  <si>
    <t>Excel - saisir des données et des formules simples</t>
  </si>
  <si>
    <t>Excel - mettre en forme une feuille de calcul</t>
  </si>
  <si>
    <t>Excel - utiliser des fonction et présenter des nombres</t>
  </si>
  <si>
    <t>Excel - trier des données et modifier une feuille de clacul</t>
  </si>
  <si>
    <t>Excel - créer des graphiques</t>
  </si>
  <si>
    <t>Excel - imprimer une feuille de calcul</t>
  </si>
  <si>
    <t>Excel - Nommer et recopier des cellules</t>
  </si>
  <si>
    <t>Excel - définir une action conditionnellle simple</t>
  </si>
  <si>
    <t>Excel - modifier et mettre en forme un graphique</t>
  </si>
  <si>
    <t>Excel - étude de cas 1 - taxe foncière</t>
  </si>
  <si>
    <t>Excel - étude de cas 2 - impot sur le revenu</t>
  </si>
  <si>
    <t>Excel - étude de cas 3 - impot sur le revenu</t>
  </si>
  <si>
    <t>Excel - budget - exercice</t>
  </si>
  <si>
    <t>Excel - budget - texte à trou évaluation</t>
  </si>
  <si>
    <t>Excel - budget - enquête de satisfaction</t>
  </si>
  <si>
    <t>Powerpoint - créer une nouvelle présentation</t>
  </si>
  <si>
    <t>Powerpoint - Ajoutern supprimer et déplacer des diapositives</t>
  </si>
  <si>
    <t>Powerpoint - Créer des animations</t>
  </si>
  <si>
    <t>CMS - évaluation</t>
  </si>
  <si>
    <t>Créer un site web avec un CMS</t>
  </si>
  <si>
    <t>Cration d'appli avec Glide</t>
  </si>
  <si>
    <t>logique et tests psychotechnique</t>
  </si>
  <si>
    <t>Cave aux énigmes</t>
  </si>
  <si>
    <t>logique - évaluation</t>
  </si>
  <si>
    <t>additions</t>
  </si>
  <si>
    <t>soustractions</t>
  </si>
  <si>
    <t xml:space="preserve">additions &amp; soustractions 2021 </t>
  </si>
  <si>
    <t>additions &amp; soustractions - évaluation</t>
  </si>
  <si>
    <t>multiplications</t>
  </si>
  <si>
    <t>réviser ses tables de multiplication</t>
  </si>
  <si>
    <t>multiplier astucieusement</t>
  </si>
  <si>
    <t>multiplication avec les doigts</t>
  </si>
  <si>
    <t>multiplication des nombres décimaux</t>
  </si>
  <si>
    <t>multiplication jusqu'à 100</t>
  </si>
  <si>
    <t>multiplications 2021</t>
  </si>
  <si>
    <t>multiplications 2021 - évaluation</t>
  </si>
  <si>
    <t>division 2021</t>
  </si>
  <si>
    <t>les divisions</t>
  </si>
  <si>
    <t>division - évaluation</t>
  </si>
  <si>
    <t>division 2021 - évaluation</t>
  </si>
  <si>
    <t>proportionnalité</t>
  </si>
  <si>
    <t>proportionnalité - évaluation</t>
  </si>
  <si>
    <t>résoudre un problème de pourcentage</t>
  </si>
  <si>
    <t>pourcentages directs</t>
  </si>
  <si>
    <t>pourcentages indirects</t>
  </si>
  <si>
    <t>pourcentages - tva et factures</t>
  </si>
  <si>
    <t>pourcentages - évaluation</t>
  </si>
  <si>
    <t>aires et périmètres</t>
  </si>
  <si>
    <t>aires - évaluation</t>
  </si>
  <si>
    <t>dossier fractions</t>
  </si>
  <si>
    <t>fractions - évaluation</t>
  </si>
  <si>
    <t>conversions d'unités de mesure</t>
  </si>
  <si>
    <t>conversions d'unités de mesure - évaluation</t>
  </si>
  <si>
    <t>volumes</t>
  </si>
  <si>
    <t>aires et volumes - évaluation</t>
  </si>
  <si>
    <t>durées</t>
  </si>
  <si>
    <t xml:space="preserve">additioner et soustraire des unités de temps - </t>
  </si>
  <si>
    <t>Résoudre un problème de vitesse</t>
  </si>
  <si>
    <t>Changer d'unité de vitesse</t>
  </si>
  <si>
    <t>Calculer une vitesse moyenne</t>
  </si>
  <si>
    <t>la vitesse</t>
  </si>
  <si>
    <t>vitesse - évaluation</t>
  </si>
  <si>
    <t>priorité des opérations</t>
  </si>
  <si>
    <t>utiliser la calculatrice</t>
  </si>
  <si>
    <t>priorité des opérations - évaluation</t>
  </si>
  <si>
    <t>calculatrice - évaluation</t>
  </si>
  <si>
    <t>comparaison inégalité</t>
  </si>
  <si>
    <t>comparaison inégalité - évaluation</t>
  </si>
  <si>
    <t>Résoudre une équation à une inconnue avec des nombres relatifs</t>
  </si>
  <si>
    <t>mettre un problème en équation - 1</t>
  </si>
  <si>
    <t>mettre un problème en équation - 2</t>
  </si>
  <si>
    <t>mettre un problème en équation - 3</t>
  </si>
  <si>
    <t>Résoudre une équation à une inconnue - évaluation</t>
  </si>
  <si>
    <t>notions de base en géométrie</t>
  </si>
  <si>
    <t>droites parallèles et perpendiculaires</t>
  </si>
  <si>
    <t>quadrilatères</t>
  </si>
  <si>
    <t>triangles</t>
  </si>
  <si>
    <t>cercle</t>
  </si>
  <si>
    <t>les angles</t>
  </si>
  <si>
    <t>effectuer un tracé géométrique - évaluation</t>
  </si>
  <si>
    <t>Utiliser les instruments pour réaliser des constructions géométrique - évaluation</t>
  </si>
  <si>
    <t>angles (Simon et Dylan)</t>
  </si>
  <si>
    <t>angles - évaluations</t>
  </si>
  <si>
    <t>moyenne et Excel</t>
  </si>
  <si>
    <t>synthèse statistique</t>
  </si>
  <si>
    <t>Fiche évaluation des compétences orales</t>
  </si>
  <si>
    <t>GDP - Cahier de recettes</t>
  </si>
  <si>
    <t>parcours métier</t>
  </si>
  <si>
    <t>Application Graines de pâtissier</t>
  </si>
  <si>
    <t>PM - Graines de pâtissier</t>
  </si>
  <si>
    <t>02 - Créer une appli avec Glide</t>
  </si>
  <si>
    <t>Atelier de création d’application sans code permettant aux participants de découvrir les outils numériques de conception, d’organiser et valoriser des informations dans une application mobile, tout en développant leurs compétences numériques et leur autonomie dans la réalisation de projets digitaux.</t>
  </si>
  <si>
    <t>Cyberpark</t>
  </si>
  <si>
    <t>1 ref peda</t>
  </si>
  <si>
    <t>Environnement informatique</t>
  </si>
  <si>
    <t>OneDrive</t>
  </si>
  <si>
    <t>parcours immersif de sensibilisation à la cybersécurité permettant aux participants d’adopter les bonnes pratiques numériques, de développer leur esprit critique face à l'information en ligne et de découvrir les métiers de la cybersérité à travers des jeux, enquêtes, ateliers pratiques et rencontres avec des professionnels.</t>
  </si>
  <si>
    <t>Developpement durable et éco-pâtisserie</t>
  </si>
  <si>
    <t>Développement durable et éco-pâtisserie.pdf</t>
  </si>
  <si>
    <t>Atelier Développement durable et éco-pâtisserie permettant aux participants de découvrir les enjeux du développement durable dans les métiers de bouche, d'identifier des pratiques et produits plus responsables, d'analyser les labels de qualité et de développement durable, et de réfléchir à des gestes professionnels favorisant la préservation de l'environnement.</t>
  </si>
  <si>
    <t>gestion d'une pâtisserie</t>
  </si>
  <si>
    <t>Calculatrice</t>
  </si>
  <si>
    <t>Gestion d'une pâtisserie.pdf</t>
  </si>
  <si>
    <t>Atelier de gestion d’une pâtisserie permettant aux participants de découvrir les principes fondamentaux de la gestion d’entreprise, de calculer les coûts de production, les marges et les prix de vente, tout en développant leur capacité à analyser la rentabilité d’une activité professionnelle.</t>
  </si>
  <si>
    <t>la saisonnalité et l'utilisation des fruits en pâtisserie</t>
  </si>
  <si>
    <t>Vidéo-projecteur, ciseaux, colle, Patafix</t>
  </si>
  <si>
    <t>La saisonnalité et l'utilisation des fruits en pâtisserie.pdf</t>
  </si>
  <si>
    <t>Atelier sur la saisonnalité et l’utilisation des fruits en pâtisserie permettant aux participants d’identifier les fruits de saison, de comprendre les enjeux économiques et environnementaux liés à leur utilisation, et de découvrir les différentes formes de conservation, de stockage et de transformation des fruits dans les métiers de la pâtisserie.</t>
  </si>
  <si>
    <t>Le matériel professionnel</t>
  </si>
  <si>
    <t>Tableau, marqueurs, ciseaux, feutres, timer</t>
  </si>
  <si>
    <t>Le matériel professionnel.pdf</t>
  </si>
  <si>
    <t>Atelier sur le matériel professionnel en pâtisserie permettant aux participants de reconnaître, nommer et utiliser le vocabulaire des principaux ustensiles de pâtisserie, tout en comprenant leurs fonctions et leur utilisation dans un environnement professionnel grâce à des activités ludiques et collaboratives.</t>
  </si>
  <si>
    <t>Le tour de France des pâtisseries</t>
  </si>
  <si>
    <t>pate à fixe, feuilles A3 pour imprimer la carte de France et vidéoprojecteur</t>
  </si>
  <si>
    <t>Le tour de France des pâtisseries.pdf</t>
  </si>
  <si>
    <t>Atelier "Le Tour de France des pâtisseries" permettant aux participants de découvrir le patrimoine gastronomique français, d’identifier les spécialités pâtissières emblématiques des différentes régions, de réaliser des recherches documentaires et de présenter à l’oral des informations historiques, culturelles et professionnelles liées aux métiers de la pâtisserie.</t>
  </si>
  <si>
    <t>Le vocabulaire professionnel</t>
  </si>
  <si>
    <t>post-it, paperboard ou tableau</t>
  </si>
  <si>
    <t>Le vocabulaire professionnel.pdf</t>
  </si>
  <si>
    <t>Atelier sur le vocabulaire professionnel en pâtisserie permettant aux participants d’acquérir et de réutiliser le lexique technique du métier, de comprendre les termes employés dans les recettes et les situations professionnelles, et de développer leur capacité à communiquer avec précision dans un environnement de travail en pâtisserie.</t>
  </si>
  <si>
    <t>Les règles sanitaires et l'hygiène en pâtisserie</t>
  </si>
  <si>
    <t>vidéoprojecteur, buzzers ou objets permettant de faire du bruit, post-it et stylos</t>
  </si>
  <si>
    <t>Les règles sanitaires et l'hygiène en pâtisserie.pdf</t>
  </si>
  <si>
    <t>Atelier sur les règles sanitaires et l’hygiène en pâtisserie permettant aux participants d’identifier les bonnes pratiques d’hygiène et de sécurité alimentaire, de repérer les risques de contamination dans un environnement professionnel et d’adopter les comportements indispensables à l’exercice des métiers de bouche.</t>
  </si>
  <si>
    <t>Livret des graines</t>
  </si>
  <si>
    <t>feutres et feuilles A3, vidéoprojecteur</t>
  </si>
  <si>
    <t>Livret des graines.pdf</t>
  </si>
  <si>
    <t>Atelier "Livret des Graines" permettant aux participants de réaliser collectivement un livret numérique retraçant leur parcours de formation, afin de valoriser les compétences acquises, les projets réalisés et les apprentissages développés tout au long de l’accompagnement, tout en renforçant leur maîtrise des outils numériques et du travail collaboratif.</t>
  </si>
  <si>
    <t>Pâtissier chimiste émulsion et tempérage du chocolat</t>
  </si>
  <si>
    <t>feuilles A3, feutres</t>
  </si>
  <si>
    <t>Pâtissier chimiste émulsion et tempérage du chocolat.pdf</t>
  </si>
  <si>
    <t>Atelier "Pâtissier chimiste : émulsion et tempérage du chocolat" permettant aux participants de découvrir les phénomènes chimiques présents en pâtisserie, de comprendre et expliquer les techniques professionnelles d’émulsion et de tempérage du chocolat, ainsi que leur importance dans la réalisation de produits pâtissiers de qualité.</t>
  </si>
  <si>
    <t>Proportion, conversion et mesure en pâtisserie</t>
  </si>
  <si>
    <t>vidéoprojecteur, ardoises ou feuilles blanches</t>
  </si>
  <si>
    <t>Proportion, conversion et mesure en pâtisserie.pdf</t>
  </si>
  <si>
    <t>Atelier "Proportion, conversion et mesure en pâtisserie" permettant aux participants de mobiliser les opérations mathématiques de base, de convertir des unités de mesure et d’adapter les quantités d’une recette en fonction du nombre de portions, afin de développer des compétences essentielles à la pratique professionnelle en pâtisserie.</t>
  </si>
  <si>
    <t>GDP - pourcentages - évaluation</t>
  </si>
  <si>
    <t>CAP Pâtisserie : où j’en suis aujourd’hui ?</t>
  </si>
  <si>
    <t>UP2C</t>
  </si>
  <si>
    <t>Atelier de positionnement CAP Pâtisserie permettant aux participants d’évaluer leurs acquis en français, mathématiques et sciences à travers un sujet de niveau CAP, d’identifier leurs points forts et axes de progression, et de mieux préparer leur entrée en alternance grâce à une analyse réaliste de leur niveau et à la définition d’objectifs de travail personnalisés.</t>
  </si>
  <si>
    <t>Sujet CAP Français</t>
  </si>
  <si>
    <t>sujet-francais-cap-patissier-2019.pdf</t>
  </si>
  <si>
    <t>Sujet CAP Math</t>
  </si>
  <si>
    <t>sujet-maths-cap-patissier-2019.pdf</t>
  </si>
  <si>
    <t>Sujet CAP Math métropole</t>
  </si>
  <si>
    <t>SUJET_CAP_Maths_Gr1_Métropole.pdf</t>
  </si>
  <si>
    <t>Sujet CAP 2023</t>
  </si>
  <si>
    <t>2023-CAP-2-Sujet.pdf</t>
  </si>
  <si>
    <t>Sujet CAP Sciences</t>
  </si>
  <si>
    <t>CAP_Maths_ScPhCh_Grpmt1_2021.pdf</t>
  </si>
  <si>
    <t>Défis</t>
  </si>
  <si>
    <t>Résolution de problème</t>
  </si>
  <si>
    <t xml:space="preserve">Mots croisés GdP </t>
  </si>
  <si>
    <t>vidéoprojecteur</t>
  </si>
  <si>
    <t>motscroisesgdp.docx</t>
  </si>
  <si>
    <t>Atelier de création de mots croisés professionnels permettant aux participants d’acquérir et mémoriser le vocabulaire technique de la pâtisserie en concevant des grilles collaboratives numériques, tout en développant leurs compétences de recherche, de compréhension des définitions et de transmission des connaissances au sein du groupe.</t>
  </si>
  <si>
    <t>Design - Construction de projet</t>
  </si>
  <si>
    <t>HTML &amp; CSS</t>
  </si>
  <si>
    <t>JavaScript</t>
  </si>
  <si>
    <t>MySQL</t>
  </si>
  <si>
    <t>PHP</t>
  </si>
  <si>
    <t>Unity - Game Design</t>
  </si>
  <si>
    <t>Modélisation 3D</t>
  </si>
  <si>
    <t>Architecture réseau</t>
  </si>
  <si>
    <t>Ecrire sur l'eau</t>
  </si>
  <si>
    <t>Vocabulaire</t>
  </si>
  <si>
    <t>images inspiration.pptx</t>
  </si>
  <si>
    <t>Atelier d’écriture créative permettant aux participants de produire un texte sous contrainte, de développer leur expression écrite, d’améliorer collectivement leurs compétences en orthographe et en grammaire, et de coopérer pour analyser et résoudre des difficultés linguistiques.</t>
  </si>
  <si>
    <t>Cyber Sécurité</t>
  </si>
  <si>
    <t>Arduino</t>
  </si>
  <si>
    <t>Workshop</t>
  </si>
  <si>
    <t>Santé - sujets math</t>
  </si>
  <si>
    <t>PM - Santé &amp; Social</t>
  </si>
  <si>
    <t>Accueil Client</t>
  </si>
  <si>
    <t>Les métiers du secteur médico-social</t>
  </si>
  <si>
    <t>1 ref péda</t>
  </si>
  <si>
    <t>1 Les métiers du secteur médico-social.pdf</t>
  </si>
  <si>
    <t>Atelier de découverte des métiers du secteur médico-social permettant aux participants d’explorer les principaux métiers de l’accompagnement et du soin, d’identifier leurs missions, compétences et environnements de travail, tout en amorçant une réflexion sur leur projet professionnel, leurs motivations et les freins éventuels à leur orientation.</t>
  </si>
  <si>
    <t>Les règles sanitaires et d'hygiène</t>
  </si>
  <si>
    <t>2 Les règles sanitaires et d'hygiène.pdf</t>
  </si>
  <si>
    <t>Atelier sur les règles sanitaires et d’hygiène dans le secteur médico-social permettant aux participants de comprendre les modes de transmission des microbes, d’identifier les gestes barrières et les bonnes pratiques d’hygiène, et d’adopter les comportements professionnels nécessaires pour prévenir les risques de contamination dans les environnements de soin et d’accompagnement.</t>
  </si>
  <si>
    <t>Les valeurs du secteur médico-social et de la Croix Rouge Française</t>
  </si>
  <si>
    <t>3 Les valeurs du secteur médico-social et de la Croix-Rouge Française.pdf</t>
  </si>
  <si>
    <t>Atelier sur les valeurs du secteur médico-social et de la Croix-Rouge française permettant aux participants d’identifier les valeurs fondamentales qui guident les métiers de l’accompagnement et du soin, de réfléchir à leurs propres valeurs et de mieux comprendre leur adéquation avec les exigences et l’éthique des professions du secteur médico-social.</t>
  </si>
  <si>
    <t>Anatomie</t>
  </si>
  <si>
    <t>4 Anatomie.pdf</t>
  </si>
  <si>
    <t>Atelier sur l’anatomie et les systèmes du corps humain permettant aux participants de découvrir les principaux os, muscles et organes du corps humain, d’acquérir le vocabulaire anatomique de base et de comprendre le fonctionnement des grandes structures du corps en lien avec les métiers du secteur médico-social.</t>
  </si>
  <si>
    <t>Le secret professionnel</t>
  </si>
  <si>
    <t>5 Le secret professionnel.pdf</t>
  </si>
  <si>
    <t>Atelier sur le secret professionnel permettant aux participants de comprendre les principes de confidentialité applicables aux métiers du secteur médico-social, d’identifier les situations dans lesquelles les informations peuvent ou non être partagées, et de réfléchir aux enjeux éthiques et professionnels liés à la protection des données personnelles et à la relation de confiance avec les usagers.</t>
  </si>
  <si>
    <t>Transmission médicale</t>
  </si>
  <si>
    <t>6 Transmission médicale.pdf</t>
  </si>
  <si>
    <t>Atelier sur la transmission médicale permettant aux participants de comprendre l’importance de la transmission d’informations dans le parcours de soin, d’identifier les informations pertinentes à communiquer et de s’entraîner à réaliser une transmission orale claire, structurée et chronologique afin de contribuer à la continuité et à la qualité de l’accompagnement des patients.</t>
  </si>
  <si>
    <t>Book parcours santé</t>
  </si>
  <si>
    <t>Vocabulaire médical</t>
  </si>
  <si>
    <t>7 vocabulaire médical.pdf</t>
  </si>
  <si>
    <t>Atelier sur le vocabulaire médical permettant aux participants d’acquérir les principaux termes utilisés dans les métiers du secteur médico-social, de comprendre le sens des mots grâce à leur étymologie (préfixes, radicaux et suffixes), et de développer leur capacité à communiquer avec précision dans un environnement professionnel de santé.</t>
  </si>
  <si>
    <t>Cadre Légal</t>
  </si>
  <si>
    <t>Gestion d'un centre de profit</t>
  </si>
  <si>
    <t>PM - Mécanique</t>
  </si>
  <si>
    <t>L'avenir de la profession</t>
  </si>
  <si>
    <t>3D parts and pieces</t>
  </si>
  <si>
    <t>Algorithme pour déterminer la terminaison correcte des verbes et participes passés en français</t>
  </si>
  <si>
    <t>Calul de cylindrée</t>
  </si>
  <si>
    <t>Calcul de la pression des pneus</t>
  </si>
  <si>
    <t>connaissances générales</t>
  </si>
  <si>
    <t>Accueil - jeu de rôle</t>
  </si>
  <si>
    <t>Le serrage des roues</t>
  </si>
  <si>
    <t>Les pneux et les angles</t>
  </si>
  <si>
    <t>Les principales unités de mesure en mécanique</t>
  </si>
  <si>
    <t>Projet facture Norauto</t>
  </si>
  <si>
    <t>S'exprimer correctement</t>
  </si>
  <si>
    <t>Haiku</t>
  </si>
  <si>
    <t>Haïku.docx</t>
  </si>
  <si>
    <t>Atelier de découverte et de création de haïkus permettant aux participants de développer leur sensibilité artistique, leur expression écrite et orale, tout en explorant la notion d’évanescence à travers la lecture, l’analyse et la création de poèmes courts inspirés de l’instant présent.</t>
  </si>
  <si>
    <t>Expression orale</t>
  </si>
  <si>
    <t>Compréhension de texte</t>
  </si>
  <si>
    <t>Expression Orale</t>
  </si>
  <si>
    <t>Parcours progressif de développement des compétences orales permettant aux participants de gagner en aisance dans la prise de parole, d'organiser et structurer leurs idées, d'argumenter, d'écouter activement et de réaliser des synthèses efficaces à travers des activités ludiques, collaboratives et des mises en situation variées.</t>
  </si>
  <si>
    <t>Livret CPS</t>
  </si>
  <si>
    <t>Copilot said:</t>
  </si>
  <si>
    <t>Code de la route</t>
  </si>
  <si>
    <t>DF -  Code de la route.docx</t>
  </si>
  <si>
    <t>Atelier d’entraînement au code de la route permettant aux participants de renforcer leur connaissance des règles de circulation, de développer leur capacité d’analyse des situations routières et d’identifier leurs axes de progression grâce à des exercices pratiques et des temps d’échange collectifs.</t>
  </si>
  <si>
    <t>Mes objectifs</t>
  </si>
  <si>
    <t>RS - dans la peau d'un recruteur</t>
  </si>
  <si>
    <t>Atelier Sudoku</t>
  </si>
  <si>
    <t>gestion du temps</t>
  </si>
  <si>
    <t>Atelier mémoire 2 - mémoire visuelle</t>
  </si>
  <si>
    <t>Atelier mémoire 3 - mémoire auditive</t>
  </si>
  <si>
    <t>Atelier cryptographie</t>
  </si>
  <si>
    <t>Le pire CV du monde</t>
  </si>
  <si>
    <t>Le rivage des syrtes</t>
  </si>
  <si>
    <t>Tableau</t>
  </si>
  <si>
    <t>LES SYRTES.docx</t>
  </si>
  <si>
    <t>Intro Up2C</t>
  </si>
  <si>
    <t>téléphone stagiaire</t>
  </si>
  <si>
    <t>02 - Intro Up2C</t>
  </si>
  <si>
    <t>Atelier de prise en main d’Up2C permettant aux participants de découvrir leur environnement numérique de formation, de gérer leurs documents, de suivre leurs activités et de s’initier à l’autoévaluation de leurs compétences et objectifs de parcours.</t>
  </si>
  <si>
    <t>Urgence stage</t>
  </si>
  <si>
    <t>séance intensive d'accompagnement permettant aux participants de préparer et réaliser immédiatement leurs démarches de recherche de stage, en mobilisant leurs outils de candidature et en prenant contact avec des entreprises ciblées.</t>
  </si>
  <si>
    <t>La machine à laver</t>
  </si>
  <si>
    <t>Excel / Tableur</t>
  </si>
  <si>
    <t>Ma Machine de Gérard v2</t>
  </si>
  <si>
    <t>Les factures</t>
  </si>
  <si>
    <t>modeles_factures pour pas à pas excel.xlsx</t>
  </si>
  <si>
    <t>Visite en entreprise</t>
  </si>
  <si>
    <t>Immersion au sein d’une entreprise permettant aux participants de découvrir concrètement un environnement professionnel, les métiers exercés et les attentes des employeurs.</t>
  </si>
  <si>
    <t>Soie</t>
  </si>
  <si>
    <t>L'IA donne le LA</t>
  </si>
  <si>
    <t>Les discrimination</t>
  </si>
  <si>
    <t>Mini EP3A</t>
  </si>
  <si>
    <t> DF - Mini EP3A Pourcentages</t>
  </si>
  <si>
    <t>Retour APC SAS</t>
  </si>
  <si>
    <t>05 - retour SAS APC.docx</t>
  </si>
  <si>
    <t>Atelier de retour d'expérience permettant aux participants d'identifier les compétences mobilisées durant le SAS, de les relier au référentiel APC et de réaliser leur première autoévaluation sur Up2C afin de valoriser leurs acquis et leur progression.</t>
  </si>
  <si>
    <t>SAS - Clôture</t>
  </si>
  <si>
    <t>équipe péda</t>
  </si>
  <si>
    <t>DF SAS 3 jours.docx</t>
  </si>
  <si>
    <t>Temps d'échange individuel et collectif permettant de valoriser les acquis, identifier les points de vigilance et définir les prochaines étapes du parcours.</t>
  </si>
  <si>
    <t>SAS - World Café des métiers</t>
  </si>
  <si>
    <t>1 RP + 1 obs</t>
  </si>
  <si>
    <t>DF_SAS_Déroulé_global.docx</t>
  </si>
  <si>
    <t>Atelier de découverte professionnelle invitant les participants à explorer différents secteurs d'activité et à élargir leurs perspectives d'orientation.</t>
  </si>
  <si>
    <t>SAS - Meurtre à la chocolaterie (LM)</t>
  </si>
  <si>
    <t>17 - Atelier LM - Meurtre à la chocolaterie</t>
  </si>
  <si>
    <t>Annexe_DS_Lettre_de_motivation_stage.pdf</t>
  </si>
  <si>
    <t>Atelier immersif sous forme d’escape game permettant aux participants de découvrir les éléments clés d’une lettre de motivation, d'analyser des candidatures et de rédiger ensuite leur propre lettre de demande de stage.</t>
  </si>
  <si>
    <t>SAS - Dynamique et Corps</t>
  </si>
  <si>
    <t>Activité favorisant les échanges autour de sujets du quotidien tout en développant la réflexion personnelle et la cohésion du groupe.</t>
  </si>
  <si>
    <t>SAS - Ma semaine idéale</t>
  </si>
  <si>
    <t>Excel</t>
  </si>
  <si>
    <t>Atelier d'organisation personnelle permettant de réfléchir à la gestion de son temps, à ses contraintes et à son équilibre de vie.</t>
  </si>
  <si>
    <t>SAS - Engagement</t>
  </si>
  <si>
    <t>Activité de co-construction visant à définir les engagements réciproques et les règles de fonctionnement du groupe.</t>
  </si>
  <si>
    <t>SAS - Intelligence émotionnelle</t>
  </si>
  <si>
    <t>Atelier d'expression et d'échange aidant les participants à mieux identifier leurs émotions, leurs perceptions et leurs modes de communication.</t>
  </si>
  <si>
    <t>SAS - Le contrat idéal</t>
  </si>
  <si>
    <t>Annexe_DS_ce_que_j'attends_de_mon_employeur.docx</t>
  </si>
  <si>
    <t>Activité de réflexion permettant d'explorer sa représentation du travail, ses attentes envers un employeur et les comportements attendus en entreprise.</t>
  </si>
  <si>
    <t>Visite Organisme de formation</t>
  </si>
  <si>
    <t>Découverte d’un organisme de formation permettant aux participants de s’informer sur les parcours proposés, les conditions d'accès et les perspectives professionnelles associées.</t>
  </si>
  <si>
    <t>Pitch 1</t>
  </si>
  <si>
    <t>PM - Commerce</t>
  </si>
  <si>
    <t>1 réf péda</t>
  </si>
  <si>
    <t>Module_1_Pitch_E2C_avec_competences_APC.docx</t>
  </si>
  <si>
    <t>Pitch 2</t>
  </si>
  <si>
    <t>Module_2_Pitch_E2C_avec_competences_APC - Copie (2).docx</t>
  </si>
  <si>
    <t>Pitch 3</t>
  </si>
  <si>
    <t>Module_3_Pitch_E2C_avec_competences_APC - Copie (2).docx</t>
  </si>
  <si>
    <t>Linkedin création d'un réseau</t>
  </si>
  <si>
    <t>3. Linkedin</t>
  </si>
  <si>
    <t>Budget Parcours Commerce</t>
  </si>
  <si>
    <t>Excel / tableur</t>
  </si>
  <si>
    <t>budget_e2c.xlsx</t>
  </si>
  <si>
    <t>Facture Parcours Commerce</t>
  </si>
  <si>
    <t>facture_pedagogique (1).xlsx</t>
  </si>
  <si>
    <t>Entretien d'orientation</t>
  </si>
  <si>
    <t>CMO</t>
  </si>
  <si>
    <t>objectifs généraux</t>
  </si>
  <si>
    <t xml:space="preserve"> compétences</t>
  </si>
  <si>
    <t>ALC</t>
  </si>
  <si>
    <t>construire son projet professionnel</t>
  </si>
  <si>
    <t>APC</t>
  </si>
  <si>
    <t>connaissance de soi</t>
  </si>
  <si>
    <t>CPS - les besoins</t>
  </si>
  <si>
    <t>CPS - les émotions</t>
  </si>
  <si>
    <t>Intelligences multiples</t>
  </si>
  <si>
    <t>APC - transversal</t>
  </si>
  <si>
    <t>agir en collectif</t>
  </si>
  <si>
    <t>communication</t>
  </si>
  <si>
    <t>acquisition de compétences</t>
  </si>
  <si>
    <t>One Drive</t>
  </si>
  <si>
    <t>BAO - entreprise</t>
  </si>
  <si>
    <t>connaissance du monde professionnel</t>
  </si>
  <si>
    <t>Préaration forum emploi</t>
  </si>
  <si>
    <t>Préparation des démarches</t>
  </si>
  <si>
    <t>BAO - Projet Pro</t>
  </si>
  <si>
    <t>BAO - RAN</t>
  </si>
  <si>
    <t>BAO - socialisation</t>
  </si>
  <si>
    <t>CPS 1</t>
  </si>
  <si>
    <t>ENT - Rencontres</t>
  </si>
  <si>
    <t>ENT - TRE</t>
  </si>
  <si>
    <t>LM</t>
  </si>
  <si>
    <t>GEN - Admin</t>
  </si>
  <si>
    <t>GEN - Suivi</t>
  </si>
  <si>
    <t>GEN - Suivi &amp; Admin</t>
  </si>
  <si>
    <t>Entretien PIM</t>
  </si>
  <si>
    <t>Graines de pâtissiers</t>
  </si>
  <si>
    <t>Défis 2025</t>
  </si>
  <si>
    <t>introduction Classroom</t>
  </si>
  <si>
    <t>Parcours Commerce</t>
  </si>
  <si>
    <t>Parcours Norauto</t>
  </si>
  <si>
    <t>Parcours santé</t>
  </si>
  <si>
    <t>LEs règles sanitaires et d'hygiène</t>
  </si>
  <si>
    <t>Lest métiers du secteur médico-social</t>
  </si>
  <si>
    <t>Transmission médiacale</t>
  </si>
  <si>
    <t>PP - Général</t>
  </si>
  <si>
    <t>Prépa Numérique</t>
  </si>
  <si>
    <t>RAN - Français</t>
  </si>
  <si>
    <t>RAN - général</t>
  </si>
  <si>
    <t>RAN - Mathématiques</t>
  </si>
  <si>
    <t>SOC - Citoyenneté</t>
  </si>
  <si>
    <t>SOC - général</t>
  </si>
  <si>
    <t>(vide)</t>
  </si>
  <si>
    <t>Accueil référés</t>
  </si>
  <si>
    <t>Rencontre ton CRE</t>
  </si>
  <si>
    <t>Représentants des stagiaires</t>
  </si>
  <si>
    <t>Total général</t>
  </si>
  <si>
    <t>Séances</t>
  </si>
  <si>
    <t>ok up2c</t>
  </si>
  <si>
    <t>Count</t>
  </si>
  <si>
    <t>1a</t>
  </si>
  <si>
    <t>1b</t>
  </si>
  <si>
    <t>1c</t>
  </si>
  <si>
    <t>1d</t>
  </si>
  <si>
    <t>1e</t>
  </si>
  <si>
    <t>2a</t>
  </si>
  <si>
    <t>2b</t>
  </si>
  <si>
    <t>2c</t>
  </si>
  <si>
    <t>2d</t>
  </si>
  <si>
    <t>3a</t>
  </si>
  <si>
    <t>3b</t>
  </si>
  <si>
    <t>3c</t>
  </si>
  <si>
    <t>3d</t>
  </si>
  <si>
    <t>3e</t>
  </si>
  <si>
    <t>4a</t>
  </si>
  <si>
    <t>4b</t>
  </si>
  <si>
    <t>4c</t>
  </si>
  <si>
    <t>5a</t>
  </si>
  <si>
    <t>5b</t>
  </si>
  <si>
    <t>5c</t>
  </si>
  <si>
    <t>6a</t>
  </si>
  <si>
    <t>6b</t>
  </si>
  <si>
    <t>6c</t>
  </si>
  <si>
    <t>7a</t>
  </si>
  <si>
    <t>7b</t>
  </si>
  <si>
    <t>7c</t>
  </si>
  <si>
    <t>7d</t>
  </si>
  <si>
    <t>8a</t>
  </si>
  <si>
    <t>8b</t>
  </si>
  <si>
    <t>8c</t>
  </si>
  <si>
    <t>9a</t>
  </si>
  <si>
    <t>9b</t>
  </si>
  <si>
    <t>9c</t>
  </si>
  <si>
    <t>9d</t>
  </si>
  <si>
    <t>9e</t>
  </si>
  <si>
    <t>Colonne1</t>
  </si>
  <si>
    <t>Identité et image de soi</t>
  </si>
  <si>
    <t>Confiance en soi</t>
  </si>
  <si>
    <t>Gestion émotionnelle</t>
  </si>
  <si>
    <t>Motivation et engagement personnel</t>
  </si>
  <si>
    <t>Communication orale</t>
  </si>
  <si>
    <t>Écoute et compréhension</t>
  </si>
  <si>
    <t>Communication écrite</t>
  </si>
  <si>
    <t>Communication professionnelle</t>
  </si>
  <si>
    <t>Vie de groupe</t>
  </si>
  <si>
    <t>Coopération</t>
  </si>
  <si>
    <t>Gestion des relations</t>
  </si>
  <si>
    <t>Méthodes d’apprentissage</t>
  </si>
  <si>
    <t>Compétences de base</t>
  </si>
  <si>
    <t>Organisation personnelle</t>
  </si>
  <si>
    <t>Autonomie dans les démarches</t>
  </si>
  <si>
    <t>Découverte des métiers</t>
  </si>
  <si>
    <t>Fonctionnement des organisations</t>
  </si>
  <si>
    <t>Codes professionnels</t>
  </si>
  <si>
    <t>Expérience en entreprise</t>
  </si>
  <si>
    <t>Environnement socio-économique</t>
  </si>
  <si>
    <t>Exploration</t>
  </si>
  <si>
    <t>Choix et décision</t>
  </si>
  <si>
    <t>Élaboration du projet</t>
  </si>
  <si>
    <t>Recherche de stage, d’emploi ou de formation</t>
  </si>
  <si>
    <t>Sécurisation du parcours</t>
  </si>
  <si>
    <t>Initiative</t>
  </si>
  <si>
    <t>Responsabilisation</t>
  </si>
  <si>
    <t>Gestion des freins</t>
  </si>
  <si>
    <t>Persévérance</t>
  </si>
  <si>
    <t>Mobilisation des ressources</t>
  </si>
  <si>
    <t>Total évalué</t>
  </si>
  <si>
    <t>10e</t>
  </si>
  <si>
    <t>count2</t>
  </si>
  <si>
    <t>Entretien RAN</t>
  </si>
  <si>
    <t>Programmation</t>
  </si>
  <si>
    <t>objectifs fins</t>
  </si>
  <si>
    <t>Axes</t>
  </si>
  <si>
    <t>Sujets</t>
  </si>
  <si>
    <t>incontournable</t>
  </si>
  <si>
    <t xml:space="preserve">compétence </t>
  </si>
  <si>
    <t>Je sais</t>
  </si>
  <si>
    <t>Addition</t>
  </si>
  <si>
    <t>Soustraction</t>
  </si>
  <si>
    <t>PM - Logistique</t>
  </si>
  <si>
    <t>Multiplication</t>
  </si>
  <si>
    <t>PM - Numérique</t>
  </si>
  <si>
    <t>Division</t>
  </si>
  <si>
    <t>PM - Hotellerie Restauration</t>
  </si>
  <si>
    <t>Proportionnalité</t>
  </si>
  <si>
    <t>Pourcentages</t>
  </si>
  <si>
    <t>Aires</t>
  </si>
  <si>
    <t>Périmètres</t>
  </si>
  <si>
    <t>Fractions</t>
  </si>
  <si>
    <t>Conversions</t>
  </si>
  <si>
    <t>Volumes</t>
  </si>
  <si>
    <t>Unités de temps</t>
  </si>
  <si>
    <t>Vitesse</t>
  </si>
  <si>
    <t>Priorité des opérations</t>
  </si>
  <si>
    <t>Comparaison – inégalité</t>
  </si>
  <si>
    <t>Equation à une inconnue</t>
  </si>
  <si>
    <t>Géométrie – figures</t>
  </si>
  <si>
    <t>Types d’Angles</t>
  </si>
  <si>
    <t>Calculs d’angles</t>
  </si>
  <si>
    <t>Statistiques</t>
  </si>
  <si>
    <t>Présent</t>
  </si>
  <si>
    <t>Imparfait</t>
  </si>
  <si>
    <t>Futur</t>
  </si>
  <si>
    <t>Ponctuation</t>
  </si>
  <si>
    <t>Passé composé</t>
  </si>
  <si>
    <t>Consignes</t>
  </si>
  <si>
    <t>Accord sujet-verbe</t>
  </si>
  <si>
    <t>Accord adjectifs</t>
  </si>
  <si>
    <t>Synonymes - péfixes - suffixes</t>
  </si>
  <si>
    <t>Homonymes - homophones</t>
  </si>
  <si>
    <t>Négation</t>
  </si>
  <si>
    <t>Connecteurs</t>
  </si>
  <si>
    <t>Registres de langue</t>
  </si>
  <si>
    <t>Phrases interrogatives</t>
  </si>
  <si>
    <t>Messagerie électronique</t>
  </si>
  <si>
    <t>PowerPoint</t>
  </si>
  <si>
    <t>Word</t>
  </si>
  <si>
    <t>Environnement</t>
  </si>
  <si>
    <t>Santé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</si>
</sst>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family val="2"/>
      <scheme val="minor"/>
    </font>
    <font>
      <u/>
      <sz val="11"/>
      <color theme="10"/>
      <name val="Calibri"/>
      <family val="2"/>
      <scheme val="minor"/>
    </font>
    <font>
      <sz val="11"/>
      <color theme="0"/>
      <name val="Calibri"/>
      <family val="2"/>
      <scheme val="minor"/>
    </font>
    <font>
      <strike/>
      <sz val="11"/>
      <color theme="1"/>
      <name val="Calibri"/>
      <family val="2"/>
      <scheme val="minor"/>
    </font>
    <font>
      <sz val="11"/>
      <color theme="1"/>
      <name val="Segoe UI"/>
      <charset val="1"/>
    </font>
    <font>
      <b/>
      <sz val="7.5"/>
      <color rgb="FFDEDEDE"/>
      <name val="Segoe Sans"/>
      <charset val="1"/>
    </font>
  </fonts>
  <fills count="6">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rgb="FFC00000"/>
        <bgColor indexed="64"/>
      </patternFill>
    </fill>
    <fill>
      <patternFill patternType="solid">
        <fgColor theme="0"/>
        <bgColor indexed="64"/>
      </patternFill>
    </fill>
  </fills>
  <borders count="3">
    <border>
      <left/>
      <right/>
      <top/>
      <bottom/>
      <diagonal/>
    </border>
    <border>
      <left/>
      <right/>
      <top/>
      <bottom style="medium">
        <color theme="1"/>
      </bottom>
      <diagonal/>
    </border>
    <border>
      <left style="thin">
        <color theme="9" tint="0.39997558519241921"/>
      </left>
      <right/>
      <top style="thin">
        <color theme="9" tint="0.39997558519241921"/>
      </top>
      <bottom style="thin">
        <color theme="9" tint="0.39997558519241921"/>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quotePrefix="1"/>
    <xf numFmtId="0" fontId="1" fillId="0" borderId="0" xfId="0" applyFont="1"/>
    <xf numFmtId="0" fontId="2" fillId="0" borderId="0" xfId="1"/>
    <xf numFmtId="0" fontId="0" fillId="2" borderId="0" xfId="0" applyFill="1"/>
    <xf numFmtId="0" fontId="2" fillId="2" borderId="0" xfId="1" applyFill="1"/>
    <xf numFmtId="0" fontId="0" fillId="3" borderId="0" xfId="0" applyFill="1"/>
    <xf numFmtId="0" fontId="3" fillId="4" borderId="0" xfId="0" applyFont="1" applyFill="1"/>
    <xf numFmtId="0" fontId="1" fillId="3" borderId="0" xfId="0" applyFont="1" applyFill="1"/>
    <xf numFmtId="0" fontId="0" fillId="0" borderId="0" xfId="0" applyAlignment="1">
      <alignment vertical="center"/>
    </xf>
    <xf numFmtId="0" fontId="0" fillId="0" borderId="0" xfId="0" pivotButton="1"/>
    <xf numFmtId="0" fontId="0" fillId="0" borderId="0" xfId="0" pivotButton="1" applyAlignment="1">
      <alignment wrapText="1"/>
    </xf>
    <xf numFmtId="0" fontId="0" fillId="0" borderId="0" xfId="0" applyAlignment="1">
      <alignment wrapText="1"/>
    </xf>
    <xf numFmtId="0" fontId="4" fillId="0" borderId="0" xfId="0" applyFont="1"/>
    <xf numFmtId="0" fontId="0" fillId="0" borderId="1" xfId="0" applyBorder="1"/>
    <xf numFmtId="0" fontId="0" fillId="5" borderId="0" xfId="0" applyFill="1"/>
    <xf numFmtId="0" fontId="0" fillId="2" borderId="2" xfId="0" applyFill="1" applyBorder="1"/>
    <xf numFmtId="0" fontId="5" fillId="0" borderId="0" xfId="0" applyFont="1"/>
    <xf numFmtId="0" fontId="0" fillId="0" borderId="0" xfId="0" applyFill="1"/>
    <xf numFmtId="0" fontId="6" fillId="0" borderId="0" xfId="0" applyFont="1" applyAlignment="1"/>
  </cellXfs>
  <cellStyles count="2">
    <cellStyle name="Hyperlink" xfId="1" xr:uid="{00000000-000B-0000-0000-000008000000}"/>
    <cellStyle name="Normal" xfId="0" builtinId="0"/>
  </cellStyles>
  <dxfs count="13">
    <dxf>
      <fill>
        <patternFill patternType="none">
          <fgColor indexed="64"/>
          <bgColor indexed="65"/>
        </patternFill>
      </fill>
    </dxf>
    <dxf>
      <fill>
        <patternFill patternType="none">
          <fgColor indexed="64"/>
          <bgColor indexed="65"/>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ill>
        <patternFill patternType="solid">
          <fgColor indexed="64"/>
          <bgColor theme="9" tint="0.79998168889431442"/>
        </patternFill>
      </fill>
    </dxf>
    <dxf>
      <font>
        <b/>
        <i val="0"/>
        <strike val="0"/>
        <condense val="0"/>
        <extend val="0"/>
        <outline val="0"/>
        <shadow val="0"/>
        <u val="none"/>
        <vertAlign val="baseline"/>
        <sz val="11"/>
        <color theme="1"/>
        <name val="Calibri"/>
        <family val="2"/>
        <scheme val="minor"/>
      </font>
    </dxf>
    <dxf>
      <fill>
        <patternFill patternType="solid">
          <fgColor rgb="FFE2EFDA"/>
          <bgColor rgb="FFFFFFFF"/>
        </patternFill>
      </fill>
    </dxf>
    <dxf>
      <fill>
        <patternFill patternType="solid">
          <fgColor rgb="FFE2EFDA"/>
          <bgColor indexed="65"/>
        </patternFill>
      </fill>
    </dxf>
    <dxf>
      <alignment vertical="center"/>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Agnès PICART" id="{A02A6012-EC96-4E8F-B05A-EF38BB50C291}" userId="S::a.picart@e2c-grandlille.fr::96fb685c-89af-4747-842a-dcc12bf5027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51102199072" createdVersion="8" refreshedVersion="8" minRefreshableVersion="3" recordCount="342" xr:uid="{98E56510-DEE1-4AD1-A27A-6469B2F7C156}">
  <cacheSource type="worksheet">
    <worksheetSource ref="B1:U356" sheet="catalogue"/>
  </cacheSource>
  <cacheFields count="17">
    <cacheField name="Nom de l'outil" numFmtId="0">
      <sharedItems count="339">
        <s v="Simulation d'entretien"/>
        <s v="Entretien de recadrage"/>
        <s v="Jury de validation"/>
        <s v="Entretien PIM"/>
        <s v="EP3A - intro"/>
        <s v="EP3A - Recherche"/>
        <s v="EP3A - Création"/>
        <s v="EP3A - Présentation"/>
        <s v="EP3A -Bilan"/>
        <s v="EnactE2C"/>
        <s v="Simulation globale"/>
        <s v="Premier contact APC"/>
        <s v="Forum PP"/>
        <s v="Tests de positionnment"/>
        <s v="PIM Socialisation"/>
        <s v="Atelier mémoire 1"/>
        <s v="Accueil- brise glace"/>
        <s v="One Drive"/>
        <s v="CV"/>
        <s v="LM"/>
        <s v="Stage Ready"/>
        <s v="Un stage, pourquoi, comment?"/>
        <s v="Se présenter en entreprise"/>
        <s v="REX - avant stage"/>
        <s v="CPS 1"/>
        <s v="SFC"/>
        <s v="Les représentations (version courte)"/>
        <s v="Les représentations (version longue)"/>
        <s v="Stagiaire en or"/>
        <s v="Livret de compétences - création"/>
        <s v="Séance A La Carte"/>
        <s v="RIASEC"/>
        <s v="Intelligences multiples"/>
        <s v="Visite en entreprise"/>
        <s v="Café de l'emploi"/>
        <s v="Job Coaching"/>
        <s v="Visite Organisme de formation"/>
        <s v="Intervention Organisme de formation"/>
        <s v="Immersion centre de formation"/>
        <s v="Stage de découverte"/>
        <s v="Stage de validation de projet"/>
        <s v="Stage d'acquisition de compétences"/>
        <s v="Stage de pré embauche"/>
        <s v="Activité sportive"/>
        <s v="Démarches de recherche de stage"/>
        <s v="Entretien référent"/>
        <s v="Accueil référent"/>
        <s v="Préparation des démarches"/>
        <s v="Bilan APC"/>
        <s v="Livret de compétences - actualisation"/>
        <s v="Signature du suivi post-E2C"/>
        <s v="Entretien de suivi Post-E2C"/>
        <s v="Evaluation de stage"/>
        <s v="REX"/>
        <s v="REX - Restitution"/>
        <s v="La répartition de mon temps"/>
        <s v="Urgence stage"/>
        <s v="Rencontre ton CRE"/>
        <s v="Représentants des stagiaires"/>
        <s v="Introduction Parcoureo"/>
        <s v="Portrait en image"/>
        <s v="Enquête métiers/formations"/>
        <s v="A chacun sa part"/>
        <s v="Ambitions persos/pros"/>
        <s v="Banque des métiers"/>
        <s v="Je pense que tu es "/>
        <s v="Le village"/>
        <s v="s'informer, toujours au pluriel"/>
        <s v="intérets perso et pro"/>
        <s v="Résignation apprise acquise"/>
        <s v="les contrats en alternance"/>
        <s v="le rudologue"/>
        <s v="argumenter oui mais… et si"/>
        <s v="Qu'est-ce que le travail"/>
        <s v="Je n'aime pas, je n'aime pas"/>
        <s v="Les rôles dans les groupes"/>
        <s v="Mes préférences"/>
        <s v="Se former, chacun sa route…"/>
        <s v="Les 5 mots clés de mon métier"/>
        <s v="Service RH - entretiens"/>
        <s v="L'héritage"/>
        <s v="Entretiens : truc et astuces"/>
        <s v="Relance téléphonique"/>
        <s v="LM de préembauche"/>
        <s v="Mes outils de recherche d'emploi"/>
        <s v="Se présenter en 3 minutes"/>
        <s v="Les SFC de mon métier"/>
        <s v="Mobilité professionnel et géographique"/>
        <s v="Mes axes de progrès"/>
        <s v="Recherche de formation"/>
        <s v="Mes qualités"/>
        <s v="Mes valeurs"/>
        <s v="Candidature spontanée"/>
        <s v="Réseaux sociaux"/>
        <s v="Métiers en tension"/>
        <s v="ça recrute"/>
        <s v="Dilemme"/>
        <s v="Le tenue professionnelle"/>
        <s v="Dossier d'inscription"/>
        <s v="Découverte métiers et conditions de travail"/>
        <s v="Mes représentations sur les environnement de travail"/>
        <s v="Retour RIASEC"/>
        <s v="Pitcher mon projet"/>
        <s v="Préparation Jury de validation"/>
        <s v="Le vocabulaire de mon métier"/>
        <s v="Réponse à une offre"/>
        <s v="Accueil référés"/>
        <s v="Préaration forum emploi"/>
        <s v="Oser s'exprimer"/>
        <s v="Organiser ses idées"/>
        <s v="Faire une synthèse"/>
        <s v="Adapter son expression"/>
        <s v="Expliquer"/>
        <s v="Argumenter"/>
        <s v="S'exprimer et communiquer"/>
        <s v="EXTHEX"/>
        <s v="présent - premier groupe"/>
        <s v="présent - infinitif en IR"/>
        <s v="présent - 3ème groupe"/>
        <s v="présent - méthode simplifiée"/>
        <s v="présent - évaluation 1 - verbes utilisés à l'oral"/>
        <s v="présent - évaluation 2 - verbes utilisés à l'écrit"/>
        <s v="présent - évaluation générale -verbes utilisés à l'oral"/>
        <s v="présent - évaluation générale -verbes utilisés à l'écrit"/>
        <s v="imparfait - exercices"/>
        <s v="imparfait - évaluation 1"/>
        <s v="imparfait - évaluation 2"/>
        <s v="futur simple - exercices 0"/>
        <s v="futur simple - exercices 1"/>
        <s v="futur simple - exercices 2"/>
        <s v="futur simple - évaluation"/>
        <s v="ponctuation - exercices 1"/>
        <s v="ponctuation - exercices 2"/>
        <s v="ponctuation - évaluation"/>
        <s v="passé composé - exercices"/>
        <s v="passé composé - évaluation"/>
        <s v="vocabulaire - exercices"/>
        <s v="vocabulaire - évaluation"/>
        <s v="consigne - exercices"/>
        <s v="consigne - évaluation"/>
        <s v="accords - exercices"/>
        <s v="accords - évaluations"/>
        <s v="synonymes - préfixes - suffixes - exercices"/>
        <s v="synonymes - préfixes - suffixes - évaluations"/>
        <s v="homonymes - homophones - homographes - exercices"/>
        <s v="homonymes - homophones - homographes - ne pas confondre..."/>
        <s v="homonymes - homophones - homographes - évaluation"/>
        <s v="négation"/>
        <s v="phrase négative"/>
        <s v="phrase intérrogative"/>
        <s v="interrogation et négation - évaluation"/>
        <s v="connecteurs logiques - exercices"/>
        <s v="connecteurs logiques - outils"/>
        <s v="connecteurs logiques - évaluation"/>
        <s v="adapter son discours"/>
        <s v="registres de langue - évaluation"/>
        <s v="introduction Classroom"/>
        <s v="Word - produire une lettre"/>
        <s v="Word -mise en page - évaluation"/>
        <s v="Word - CV"/>
        <s v="Word - CV à corriger - évaluation 1"/>
        <s v="Word - CV check list - évaluation 2"/>
        <s v="Word - saisir, imprimer, enregistrer"/>
        <s v="Word - paramétrer"/>
        <s v="Word - msie en forme de texte"/>
        <s v="Word - Interlignes et espacements"/>
        <s v="Word - retraits de paragraphes"/>
        <s v="Word - utiliser les tabulations"/>
        <s v="Word - insérer un tableau"/>
        <s v="Word - mettre en forme un tableau"/>
        <s v="Word - insérer un média"/>
        <s v="Word - modifier un texte"/>
        <s v="Word - vérifier et corriger un texte"/>
        <s v="Word - listes, symboles et caractères spéciaux"/>
        <s v="Word - bordures et trames"/>
        <s v="Word - mise en page en colonnes"/>
        <s v="Word - modèles de documents"/>
        <s v="Word - formulaire"/>
        <s v="Word - gérer un document long"/>
        <s v="Excel - concevoir et utiliser un tableau"/>
        <s v="Excel - budget - évaluation"/>
        <s v="Excel - saisir des données et des formules simples"/>
        <s v="Excel - mettre en forme une feuille de calcul"/>
        <s v="Excel - utiliser des fonction et présenter des nombres"/>
        <s v="Excel - trier des données et modifier une feuille de clacul"/>
        <s v="Excel - créer des graphiques"/>
        <s v="Excel - imprimer une feuille de calcul"/>
        <s v="Excel - Nommer et recopier des cellules"/>
        <s v="Excel - définir une action conditionnellle simple"/>
        <s v="Excel - modifier et mettre en forme un graphique"/>
        <s v="Excel - étude de cas 1 - taxe foncière"/>
        <s v="Excel - étude de cas 2 - impot sur le revenu"/>
        <s v="Excel - étude de cas 3 - impot sur le revenu"/>
        <s v="Excel - budget - exercice"/>
        <s v="Excel - budget - texte à trou évaluation"/>
        <s v="Excel - budget - enquête de satisfaction"/>
        <s v="Powerpoint - créer une nouvelle présentation"/>
        <s v="Powerpoint - Ajoutern supprimer et déplacer des diapositives"/>
        <s v="Powerpoint - Créer des animations"/>
        <s v="Créer un site web avec un CMS"/>
        <s v="CMS - évaluation"/>
        <s v="Cration d'appli avec Glide"/>
        <s v="Application Graines de pâtissier"/>
        <s v="logique et tests psychotechnique"/>
        <s v="Cave aux énigmes"/>
        <s v="logique - évaluation"/>
        <s v="additions"/>
        <s v="soustractions"/>
        <s v="additions &amp; soustractions 2021 "/>
        <s v="additions &amp; soustractions - évaluation"/>
        <s v="multiplications"/>
        <s v="réviser ses tables de multiplication"/>
        <s v="multiplier astucieusement"/>
        <s v="multiplication avec les doigts"/>
        <s v="multiplication des nombres décimaux"/>
        <s v="multiplication jusqu'à 100"/>
        <s v="multiplications 2021"/>
        <s v="multiplications 2021 - évaluation"/>
        <s v="division 2021"/>
        <s v="les divisions"/>
        <s v="division - évaluation"/>
        <s v="division 2021 - évaluation"/>
        <s v="proportionnalité"/>
        <s v="proportionnalité - évaluation"/>
        <s v="résoudre un problème de pourcentage"/>
        <s v="pourcentages directs"/>
        <s v="pourcentages indirects"/>
        <s v="pourcentages - tva et factures"/>
        <s v="pourcentages - évaluation"/>
        <s v="aires et périmètres"/>
        <s v="aires - évaluation"/>
        <s v="dossier fractions"/>
        <s v="fractions - évaluation"/>
        <s v="conversions d'unités de mesure"/>
        <s v="conversions d'unités de mesure - évaluation"/>
        <s v="volumes"/>
        <s v="aires et volumes - évaluation"/>
        <s v="durées"/>
        <s v="additioner et soustraire des unités de temps - "/>
        <s v="gestion du temps"/>
        <s v="Résoudre un problème de vitesse"/>
        <s v="Changer d'unité de vitesse"/>
        <s v="Calculer une vitesse moyenne"/>
        <s v="la vitesse"/>
        <s v="vitesse - évaluation"/>
        <s v="priorité des opérations"/>
        <s v="utiliser la calculatrice"/>
        <s v="priorité des opérations - évaluation"/>
        <s v="calculatrice - évaluation"/>
        <s v="comparaison inégalité"/>
        <s v="comparaison inégalité - évaluation"/>
        <s v="Résoudre une équation à une inconnue avec des nombres relatifs"/>
        <s v="mettre un problème en équation - 1"/>
        <s v="mettre un problème en équation - 2"/>
        <s v="mettre un problème en équation - 3"/>
        <s v="Résoudre une équation à une inconnue - évaluation"/>
        <s v="notions de base en géométrie"/>
        <s v="droites parallèles et perpendiculaires"/>
        <s v="quadrilatères"/>
        <s v="triangles"/>
        <s v="cercle"/>
        <s v="les angles"/>
        <s v="effectuer un tracé géométrique - évaluation"/>
        <s v="Utiliser les instruments pour réaliser des constructions géométrique - évaluation"/>
        <s v="angles (Simon et Dylan)"/>
        <s v="angles - évaluations"/>
        <s v="moyenne et Excel"/>
        <s v="synthèse statistique"/>
        <s v="Fiche évaluation des compétences orales"/>
        <s v="GDP - Cahier de recettes"/>
        <s v="Developpement durable et éco-pâtisserie"/>
        <s v="gestion d'une pâtisserie"/>
        <s v="la saisonnalité et l'utilisation des fruits en pâtisserie"/>
        <s v="Le matériel professionnel"/>
        <s v="Le tour de France des pâtisseries"/>
        <s v="Le vocabulaire professionnel"/>
        <s v="Les règles sanitaires et l'hygiène en pâtisserie"/>
        <s v="Livret des graines"/>
        <s v="Pâtissier chimiste émulsion et tempérage du chocolat"/>
        <s v="Proportion, conversion et mesure en pâtisserie"/>
        <s v="GDP - pourcentages - évaluation"/>
        <s v="Sujet CAP Français"/>
        <s v="Sujet CAP Math"/>
        <s v="Sujet CAP Math métropole"/>
        <s v="Sujet CAP 2023"/>
        <s v="Sujet CAP Sciences"/>
        <s v="Défis 2025"/>
        <s v="Mots croisés GdP "/>
        <s v="Résolution de problème"/>
        <s v="Design - Construction de projet"/>
        <s v="HTML &amp; CSS"/>
        <s v="JavaScript"/>
        <s v="MySQL"/>
        <s v="PHP"/>
        <s v="Unity - Game Design"/>
        <s v="Modélisation 3D"/>
        <s v="Architecture réseau"/>
        <s v="Cyber Sécurité"/>
        <s v="Arduino"/>
        <s v="Workshop"/>
        <s v="Accueil Client"/>
        <s v="Santé - sujets math"/>
        <s v="Lest métiers du secteur médico-social"/>
        <s v="LEs règles sanitaires et d'hygiène"/>
        <s v="Les valeurs du secteur médico-social et de la Croix Rouge Française"/>
        <s v="Anatomie"/>
        <s v="Le secret professionnel"/>
        <s v="Transmission médiacale"/>
        <s v="Vocabulaire médical"/>
        <s v="Book parcours santé"/>
        <s v="Cadre Légal"/>
        <s v="Gestion d'un centre de profit"/>
        <s v="L'avenir de la profession"/>
        <s v="3D parts and pieces"/>
        <s v="Algorithme pour déterminer la terminaison correcte des verbes et participes passés en français"/>
        <s v="Calul de cylindrée"/>
        <s v="Calcul de la pression des pneus"/>
        <s v="connaissances générales"/>
        <s v="Accueil - jeu de rôle"/>
        <s v="Le serrage des roues"/>
        <s v="Les pneux et les angles"/>
        <s v="Les principales unités de mesure en mécanique"/>
        <s v="Projet facture Norauto"/>
        <s v="S'exprimer correctement"/>
        <s v="Atelier mémoire 2 - mémoire visuelle"/>
        <s v="Atelier mémoire 3 - mémoire auditive"/>
        <s v="CPS - les besoins"/>
        <s v="CPS - les émotions"/>
        <s v="Livret CPS"/>
        <s v="Atelier cryptographie"/>
        <s v="Le pire CV du monde"/>
        <s v="Mes objectifs"/>
        <s v="RS - dans la peau d'un recruteur"/>
        <s v="Atelier Sudoku"/>
        <s v="Code de la route"/>
        <s v="Le rivage des syrtes"/>
        <s v="La machine à laver"/>
        <s v="Les factures"/>
        <s v="Ecrire sur l'eau"/>
      </sharedItems>
    </cacheField>
    <cacheField name="programmation" numFmtId="0">
      <sharedItems/>
    </cacheField>
    <cacheField name="type de contenu" numFmtId="0">
      <sharedItems containsBlank="1" count="8">
        <s v="Entreprise"/>
        <s v="Socialisation"/>
        <s v="Projet Professionnel"/>
        <s v="dispositif long"/>
        <s v="RAN"/>
        <s v="Autonomisation"/>
        <s v="parcours métier"/>
        <m/>
      </sharedItems>
    </cacheField>
    <cacheField name="étape parcours" numFmtId="0">
      <sharedItems count="6">
        <s v="toute étape"/>
        <s v="principale"/>
        <s v="intégration"/>
        <s v="positionnement"/>
        <s v="sortie"/>
        <s v="post-sortie"/>
      </sharedItems>
    </cacheField>
    <cacheField name="up2c-projet" numFmtId="0">
      <sharedItems containsBlank="1" count="26">
        <s v="ENT - Rencontres"/>
        <s v="GEN - Suivi &amp; Admin"/>
        <s v="PP - Général"/>
        <s v="APC - transversal"/>
        <s v="SOC - Citoyenneté"/>
        <s v="RAN - général"/>
        <s v="Connaissance de soi"/>
        <s v="ENT - TRE"/>
        <s v="ALC"/>
        <s v="intégration"/>
        <s v="BAO - RAN"/>
        <s v="BAO - entreprise"/>
        <s v="BAO - Projet Pro"/>
        <s v="BAO - socialisation"/>
        <s v="GEN - Suivi"/>
        <s v="APC"/>
        <m/>
        <s v="RAN - Mathématiques"/>
        <s v="SOC - général"/>
        <s v="Graines de pâtissiers"/>
        <s v="Prépa Numérique"/>
        <s v="Parcours Commerce"/>
        <s v="Parcours santé"/>
        <s v="Parcours Norauto"/>
        <s v="RAN - Français"/>
        <s v="GEN - Admin"/>
      </sharedItems>
    </cacheField>
    <cacheField name="up2c-séquence" numFmtId="0">
      <sharedItems containsBlank="1"/>
    </cacheField>
    <cacheField name="Socle" numFmtId="0">
      <sharedItems/>
    </cacheField>
    <cacheField name="Créé dans Up2C" numFmtId="0">
      <sharedItems containsBlank="1"/>
    </cacheField>
    <cacheField name="A jour dans Up2C" numFmtId="0">
      <sharedItems containsBlank="1"/>
    </cacheField>
    <cacheField name="Besoin RH" numFmtId="0">
      <sharedItems containsBlank="1" containsMixedTypes="1" containsNumber="1" containsInteger="1" minValue="1" maxValue="1"/>
    </cacheField>
    <cacheField name="Besoin ordi" numFmtId="0">
      <sharedItems containsBlank="1"/>
    </cacheField>
    <cacheField name="besoin matériel" numFmtId="0">
      <sharedItems containsBlank="1"/>
    </cacheField>
    <cacheField name="modalité" numFmtId="0">
      <sharedItems containsBlank="1"/>
    </cacheField>
    <cacheField name="objectifs généraux" numFmtId="0">
      <sharedItems count="6">
        <s v="connaissance du monde professionnel"/>
        <s v="connaissance de soi"/>
        <s v="construire son projet professionnel"/>
        <s v="acquisition de compétences"/>
        <s v="agir en collectif"/>
        <s v="communication"/>
      </sharedItems>
    </cacheField>
    <cacheField name="chemin" numFmtId="0">
      <sharedItems containsBlank="1"/>
    </cacheField>
    <cacheField name="A jour dans Sharepoint" numFmtId="0">
      <sharedItems containsBlank="1"/>
    </cacheField>
    <cacheField name="compétences" numFmtId="0">
      <sharedItems containsString="0" containsBlank="1" containsNumber="1" containsInteger="1" minValue="3" maxValue="3" count="2">
        <n v="3"/>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2">
  <r>
    <x v="0"/>
    <s v="hors-planning"/>
    <x v="0"/>
    <x v="0"/>
    <x v="0"/>
    <s v="TRONC COMMUN"/>
    <s v="oui"/>
    <s v="oui"/>
    <s v="non"/>
    <s v="1 pers. Ext"/>
    <s v="non"/>
    <s v="Un bureau"/>
    <s v="individuel"/>
    <x v="0"/>
    <s v="Simulations d'Entretiens.docx"/>
    <s v="oui"/>
    <x v="0"/>
  </r>
  <r>
    <x v="1"/>
    <s v="hors-planning"/>
    <x v="1"/>
    <x v="0"/>
    <x v="1"/>
    <s v="TRONC COMMUN"/>
    <s v="non"/>
    <m/>
    <m/>
    <m/>
    <m/>
    <m/>
    <s v="individuel"/>
    <x v="1"/>
    <m/>
    <m/>
    <x v="1"/>
  </r>
  <r>
    <x v="2"/>
    <s v="hors-planning"/>
    <x v="2"/>
    <x v="1"/>
    <x v="2"/>
    <s v="FIN DE PARCOURS"/>
    <s v="oui"/>
    <m/>
    <m/>
    <m/>
    <m/>
    <m/>
    <s v="individuel"/>
    <x v="2"/>
    <m/>
    <m/>
    <x v="1"/>
  </r>
  <r>
    <x v="3"/>
    <s v="planning"/>
    <x v="2"/>
    <x v="2"/>
    <x v="1"/>
    <s v="INTEGRATION"/>
    <s v="oui"/>
    <m/>
    <m/>
    <m/>
    <m/>
    <m/>
    <s v="individuel"/>
    <x v="2"/>
    <m/>
    <m/>
    <x v="1"/>
  </r>
  <r>
    <x v="4"/>
    <s v="planning"/>
    <x v="3"/>
    <x v="1"/>
    <x v="3"/>
    <s v="PS - EP3A"/>
    <s v="non"/>
    <s v="oui"/>
    <m/>
    <m/>
    <m/>
    <m/>
    <s v="sous-groupe"/>
    <x v="1"/>
    <m/>
    <m/>
    <x v="1"/>
  </r>
  <r>
    <x v="5"/>
    <s v="planning"/>
    <x v="3"/>
    <x v="1"/>
    <x v="3"/>
    <s v="PS - EP3A"/>
    <s v="non"/>
    <m/>
    <m/>
    <m/>
    <m/>
    <m/>
    <s v="sous-groupe"/>
    <x v="3"/>
    <m/>
    <m/>
    <x v="1"/>
  </r>
  <r>
    <x v="6"/>
    <s v="planning"/>
    <x v="3"/>
    <x v="1"/>
    <x v="3"/>
    <s v="PS - EP3A"/>
    <s v="non"/>
    <m/>
    <m/>
    <m/>
    <m/>
    <m/>
    <s v="sous-groupe"/>
    <x v="4"/>
    <m/>
    <m/>
    <x v="1"/>
  </r>
  <r>
    <x v="7"/>
    <s v="planning"/>
    <x v="3"/>
    <x v="1"/>
    <x v="3"/>
    <s v="PS - EP3A"/>
    <s v="non"/>
    <m/>
    <m/>
    <m/>
    <m/>
    <m/>
    <s v="collectif"/>
    <x v="5"/>
    <m/>
    <m/>
    <x v="1"/>
  </r>
  <r>
    <x v="8"/>
    <s v="planning"/>
    <x v="3"/>
    <x v="1"/>
    <x v="3"/>
    <s v="PS - EP3A"/>
    <s v="non"/>
    <m/>
    <m/>
    <m/>
    <m/>
    <m/>
    <s v="collectif"/>
    <x v="1"/>
    <m/>
    <m/>
    <x v="1"/>
  </r>
  <r>
    <x v="9"/>
    <s v="planning"/>
    <x v="3"/>
    <x v="1"/>
    <x v="4"/>
    <s v="PS - Enact'E2C"/>
    <s v="non"/>
    <m/>
    <m/>
    <m/>
    <m/>
    <m/>
    <s v="sous-groupe"/>
    <x v="0"/>
    <m/>
    <m/>
    <x v="1"/>
  </r>
  <r>
    <x v="10"/>
    <s v="planning"/>
    <x v="3"/>
    <x v="1"/>
    <x v="5"/>
    <s v="PS - Simulation Globale"/>
    <s v="non"/>
    <m/>
    <m/>
    <m/>
    <m/>
    <m/>
    <s v="mixte"/>
    <x v="3"/>
    <m/>
    <m/>
    <x v="1"/>
  </r>
  <r>
    <x v="11"/>
    <s v="planning"/>
    <x v="2"/>
    <x v="3"/>
    <x v="3"/>
    <s v="INTEGRATION"/>
    <s v="oui"/>
    <s v="oui"/>
    <s v="oui"/>
    <s v="1 Ref Péda"/>
    <s v="oui"/>
    <s v="kit Séance"/>
    <s v="collectif"/>
    <x v="3"/>
    <s v="02 - mise en contact APC"/>
    <s v="oui"/>
    <x v="0"/>
  </r>
  <r>
    <x v="12"/>
    <s v="planning"/>
    <x v="2"/>
    <x v="3"/>
    <x v="3"/>
    <s v="INTEGRATION"/>
    <s v="oui"/>
    <s v="oui"/>
    <s v="oui"/>
    <s v="3 Ref Péda"/>
    <s v="non"/>
    <s v="kit + vidéo projecteur"/>
    <s v="sous-groupe"/>
    <x v="2"/>
    <s v="01 - Valise Forum PP"/>
    <s v="oui"/>
    <x v="0"/>
  </r>
  <r>
    <x v="13"/>
    <s v="planning"/>
    <x v="4"/>
    <x v="3"/>
    <x v="3"/>
    <s v="INTEGRATION"/>
    <s v="oui"/>
    <s v="oui"/>
    <s v="oui"/>
    <s v="1 Ref Péda"/>
    <s v="oui"/>
    <m/>
    <s v="individuel"/>
    <x v="3"/>
    <s v="4.Process RAN V2 - positionnement et suivi.docx"/>
    <s v="oui"/>
    <x v="0"/>
  </r>
  <r>
    <x v="14"/>
    <s v="planning"/>
    <x v="1"/>
    <x v="3"/>
    <x v="3"/>
    <s v="INTEGRATION"/>
    <s v="oui"/>
    <s v="oui"/>
    <s v="oui"/>
    <s v="1 Chargé Soc / 1 ref péda"/>
    <s v="non"/>
    <s v="Vidéo-projecteur, matériel de sport "/>
    <s v="sous-groupe"/>
    <x v="1"/>
    <s v="04-PIM socialisation"/>
    <s v="oui"/>
    <x v="0"/>
  </r>
  <r>
    <x v="15"/>
    <s v="planning"/>
    <x v="4"/>
    <x v="2"/>
    <x v="6"/>
    <s v="INTEGRATION"/>
    <s v="oui"/>
    <s v="oui"/>
    <s v="oui"/>
    <s v="1 Ref Péda"/>
    <s v="non"/>
    <s v="Vidéo-projecteur"/>
    <s v="collectif"/>
    <x v="1"/>
    <s v="Atelier 1"/>
    <s v="oui"/>
    <x v="0"/>
  </r>
  <r>
    <x v="16"/>
    <s v="planning"/>
    <x v="5"/>
    <x v="2"/>
    <x v="2"/>
    <s v="INTEGRATION"/>
    <s v="oui"/>
    <s v="oui"/>
    <s v="oui"/>
    <s v="1 Ref Péda"/>
    <s v="non"/>
    <m/>
    <s v="collectif"/>
    <x v="5"/>
    <s v="000- Séance accueil - brisons la glace"/>
    <s v="oui"/>
    <x v="0"/>
  </r>
  <r>
    <x v="17"/>
    <s v="planning"/>
    <x v="4"/>
    <x v="2"/>
    <x v="3"/>
    <s v="INTEGRATION"/>
    <s v="non"/>
    <s v="oui"/>
    <s v="oui"/>
    <s v="1 Ref Péda"/>
    <s v="oui"/>
    <m/>
    <s v="individuel"/>
    <x v="3"/>
    <s v="00 - création_de_compte_OneDrive_maj 10 2024.docx"/>
    <s v="non"/>
    <x v="0"/>
  </r>
  <r>
    <x v="18"/>
    <s v="planning"/>
    <x v="2"/>
    <x v="2"/>
    <x v="7"/>
    <s v="INTEGRATION"/>
    <s v="oui"/>
    <s v="oui"/>
    <s v="oui"/>
    <s v="1 Ref Péda"/>
    <s v="oui"/>
    <s v="Vidéo-projecteur"/>
    <s v="individuel"/>
    <x v="2"/>
    <s v="https://e2cgrandlille.sharepoint.com/:w:/s/E2CRessourcesPdagogiques/EWQTlXhEV4xDjq3SxVB8qzABr3d90n1EdDtmaY5LDPi1ZQ?e=XVHvVj"/>
    <s v="oui"/>
    <x v="0"/>
  </r>
  <r>
    <x v="19"/>
    <s v="planning"/>
    <x v="2"/>
    <x v="2"/>
    <x v="7"/>
    <s v="INTEGRATION"/>
    <s v="oui"/>
    <s v="oui"/>
    <s v="oui"/>
    <s v="1 Ref Péda"/>
    <s v="oui"/>
    <m/>
    <s v="individuel"/>
    <x v="2"/>
    <s v="DF_lettre_de_motivation__.docx"/>
    <s v="oui"/>
    <x v="0"/>
  </r>
  <r>
    <x v="20"/>
    <s v="planning"/>
    <x v="0"/>
    <x v="2"/>
    <x v="2"/>
    <s v="INTEGRATION"/>
    <s v="non"/>
    <s v="oui"/>
    <s v="oui"/>
    <s v="CRE + partenaire"/>
    <s v="oui"/>
    <m/>
    <s v="individuel"/>
    <x v="2"/>
    <s v="Stage Ready - préparer ses premières démarches.docx"/>
    <s v="oui"/>
    <x v="0"/>
  </r>
  <r>
    <x v="21"/>
    <s v="planning"/>
    <x v="0"/>
    <x v="2"/>
    <x v="7"/>
    <s v="INTEGRATION"/>
    <s v="oui"/>
    <s v="oui"/>
    <s v="oui"/>
    <s v="1 Ref Péda"/>
    <s v="oui"/>
    <m/>
    <s v="collectif"/>
    <x v="0"/>
    <s v="07 - Un stage pourquoi comment"/>
    <s v="oui"/>
    <x v="0"/>
  </r>
  <r>
    <x v="22"/>
    <s v="planning"/>
    <x v="0"/>
    <x v="2"/>
    <x v="7"/>
    <s v="INTEGRATION"/>
    <s v="oui"/>
    <s v="oui"/>
    <s v="oui"/>
    <s v="1 Ref Péda"/>
    <s v="non"/>
    <m/>
    <s v="collectif"/>
    <x v="5"/>
    <s v="DF je me présente en entreprise.docx"/>
    <s v="oui"/>
    <x v="0"/>
  </r>
  <r>
    <x v="23"/>
    <s v="planning"/>
    <x v="2"/>
    <x v="2"/>
    <x v="2"/>
    <s v="TRONC COMMUN"/>
    <s v="oui"/>
    <s v="oui"/>
    <s v="oui"/>
    <s v="1 Ref Péda"/>
    <s v="oui"/>
    <m/>
    <s v="individuel"/>
    <x v="2"/>
    <s v="PREPA REX et REX 2024"/>
    <s v="oui"/>
    <x v="0"/>
  </r>
  <r>
    <x v="24"/>
    <s v="planning"/>
    <x v="5"/>
    <x v="2"/>
    <x v="6"/>
    <s v="INTEGRATION"/>
    <s v="oui"/>
    <s v="oui"/>
    <s v="oui"/>
    <s v="2 Ref Péda"/>
    <s v="non"/>
    <s v="jeux"/>
    <s v="collectif"/>
    <x v="1"/>
    <s v="atelier 1 Intro"/>
    <s v="oui"/>
    <x v="0"/>
  </r>
  <r>
    <x v="25"/>
    <s v="planning"/>
    <x v="5"/>
    <x v="2"/>
    <x v="6"/>
    <s v="INTEGRATION"/>
    <s v="oui"/>
    <s v="oui"/>
    <s v="oui"/>
    <s v="1 Ref Péda"/>
    <s v="oui"/>
    <m/>
    <s v="collectif"/>
    <x v="1"/>
    <s v="01 - SFC"/>
    <s v="oui"/>
    <x v="0"/>
  </r>
  <r>
    <x v="26"/>
    <s v="planning"/>
    <x v="5"/>
    <x v="2"/>
    <x v="6"/>
    <s v="INTEGRATION"/>
    <s v="non"/>
    <s v="oui"/>
    <s v="oui"/>
    <s v="1 Ref Péda"/>
    <s v="non"/>
    <s v="Vidéo-projecteur"/>
    <s v="collectif"/>
    <x v="1"/>
    <s v="11 - Les représentations (version courte)"/>
    <s v="oui"/>
    <x v="0"/>
  </r>
  <r>
    <x v="27"/>
    <s v="planning"/>
    <x v="5"/>
    <x v="2"/>
    <x v="6"/>
    <s v="INTEGRATION"/>
    <s v="non"/>
    <s v="oui"/>
    <s v="oui"/>
    <s v="1 Ref Péda"/>
    <s v="non"/>
    <s v="Vidéo-projecteur"/>
    <s v="collectif"/>
    <x v="1"/>
    <s v="11 - Les représentations (version longue)"/>
    <s v="oui"/>
    <x v="0"/>
  </r>
  <r>
    <x v="28"/>
    <s v="planning"/>
    <x v="2"/>
    <x v="2"/>
    <x v="2"/>
    <s v="INTEGRATION"/>
    <s v="oui"/>
    <s v="oui"/>
    <s v="oui"/>
    <s v="1 Ref Péda"/>
    <s v="non"/>
    <s v="jeux"/>
    <s v="collectif"/>
    <x v="0"/>
    <s v="13 - Le stagiaire en or"/>
    <s v="oui"/>
    <x v="0"/>
  </r>
  <r>
    <x v="29"/>
    <s v="planning"/>
    <x v="2"/>
    <x v="2"/>
    <x v="2"/>
    <s v="INTEGRATION"/>
    <s v="oui"/>
    <s v="oui"/>
    <s v="oui"/>
    <s v="1 Ref Péda"/>
    <s v="oui"/>
    <s v="portes-vues"/>
    <s v="individuel"/>
    <x v="3"/>
    <s v="03 - Livret de compétence"/>
    <m/>
    <x v="0"/>
  </r>
  <r>
    <x v="30"/>
    <s v="planning"/>
    <x v="5"/>
    <x v="0"/>
    <x v="8"/>
    <s v="TRONC COMMUN"/>
    <s v="oui"/>
    <m/>
    <m/>
    <m/>
    <m/>
    <m/>
    <s v="mixte"/>
    <x v="2"/>
    <m/>
    <m/>
    <x v="1"/>
  </r>
  <r>
    <x v="31"/>
    <s v="planning"/>
    <x v="2"/>
    <x v="2"/>
    <x v="9"/>
    <s v="compétences"/>
    <s v="oui"/>
    <s v="oui"/>
    <s v="oui"/>
    <s v="1 Ref Péda"/>
    <s v="oui"/>
    <m/>
    <s v="individuel"/>
    <x v="2"/>
    <s v="10 - RIASEC"/>
    <s v="oui"/>
    <x v="0"/>
  </r>
  <r>
    <x v="32"/>
    <s v="planning"/>
    <x v="5"/>
    <x v="1"/>
    <x v="10"/>
    <s v="connaissance de soi"/>
    <s v="non"/>
    <s v="oui"/>
    <m/>
    <m/>
    <m/>
    <m/>
    <s v="individuel"/>
    <x v="1"/>
    <m/>
    <m/>
    <x v="1"/>
  </r>
  <r>
    <x v="33"/>
    <s v="planning"/>
    <x v="0"/>
    <x v="0"/>
    <x v="11"/>
    <m/>
    <s v="oui"/>
    <s v="oui"/>
    <m/>
    <m/>
    <m/>
    <m/>
    <s v="collectif"/>
    <x v="0"/>
    <m/>
    <m/>
    <x v="1"/>
  </r>
  <r>
    <x v="34"/>
    <s v="planning"/>
    <x v="0"/>
    <x v="0"/>
    <x v="11"/>
    <m/>
    <s v="non"/>
    <m/>
    <m/>
    <m/>
    <m/>
    <m/>
    <s v="collectif"/>
    <x v="0"/>
    <m/>
    <m/>
    <x v="1"/>
  </r>
  <r>
    <x v="35"/>
    <s v="planning"/>
    <x v="2"/>
    <x v="0"/>
    <x v="11"/>
    <m/>
    <s v="non"/>
    <m/>
    <m/>
    <m/>
    <m/>
    <m/>
    <s v="individuel"/>
    <x v="2"/>
    <m/>
    <m/>
    <x v="1"/>
  </r>
  <r>
    <x v="36"/>
    <s v="planning"/>
    <x v="2"/>
    <x v="0"/>
    <x v="12"/>
    <m/>
    <s v="oui"/>
    <s v="oui"/>
    <m/>
    <m/>
    <m/>
    <m/>
    <s v="collectif"/>
    <x v="0"/>
    <m/>
    <m/>
    <x v="1"/>
  </r>
  <r>
    <x v="37"/>
    <s v="planning"/>
    <x v="2"/>
    <x v="0"/>
    <x v="12"/>
    <m/>
    <s v="non"/>
    <s v="oui"/>
    <m/>
    <m/>
    <m/>
    <m/>
    <s v="collectif"/>
    <x v="0"/>
    <m/>
    <m/>
    <x v="1"/>
  </r>
  <r>
    <x v="38"/>
    <s v="hors-planning"/>
    <x v="2"/>
    <x v="0"/>
    <x v="12"/>
    <m/>
    <s v="non"/>
    <m/>
    <m/>
    <m/>
    <m/>
    <m/>
    <s v="individuel"/>
    <x v="2"/>
    <m/>
    <m/>
    <x v="1"/>
  </r>
  <r>
    <x v="39"/>
    <s v="hors-planning"/>
    <x v="0"/>
    <x v="0"/>
    <x v="11"/>
    <m/>
    <s v="oui"/>
    <m/>
    <m/>
    <m/>
    <m/>
    <m/>
    <s v="individuel"/>
    <x v="2"/>
    <m/>
    <m/>
    <x v="1"/>
  </r>
  <r>
    <x v="40"/>
    <s v="hors-planning"/>
    <x v="0"/>
    <x v="0"/>
    <x v="11"/>
    <m/>
    <s v="oui"/>
    <m/>
    <m/>
    <m/>
    <m/>
    <m/>
    <s v="individuel"/>
    <x v="2"/>
    <m/>
    <m/>
    <x v="1"/>
  </r>
  <r>
    <x v="41"/>
    <s v="hors-planning"/>
    <x v="0"/>
    <x v="0"/>
    <x v="11"/>
    <m/>
    <s v="oui"/>
    <m/>
    <m/>
    <m/>
    <m/>
    <m/>
    <s v="individuel"/>
    <x v="3"/>
    <m/>
    <m/>
    <x v="1"/>
  </r>
  <r>
    <x v="42"/>
    <s v="hors-planning"/>
    <x v="0"/>
    <x v="0"/>
    <x v="11"/>
    <m/>
    <s v="non"/>
    <m/>
    <m/>
    <m/>
    <m/>
    <m/>
    <s v="individuel"/>
    <x v="2"/>
    <m/>
    <m/>
    <x v="1"/>
  </r>
  <r>
    <x v="43"/>
    <s v="planning"/>
    <x v="1"/>
    <x v="0"/>
    <x v="13"/>
    <s v="sport"/>
    <s v="oui"/>
    <s v="oui"/>
    <m/>
    <m/>
    <m/>
    <m/>
    <s v="collectif"/>
    <x v="4"/>
    <m/>
    <m/>
    <x v="1"/>
  </r>
  <r>
    <x v="44"/>
    <s v="planning"/>
    <x v="5"/>
    <x v="0"/>
    <x v="11"/>
    <m/>
    <s v="oui"/>
    <s v="oui"/>
    <m/>
    <m/>
    <m/>
    <m/>
    <s v="individuel"/>
    <x v="2"/>
    <m/>
    <m/>
    <x v="1"/>
  </r>
  <r>
    <x v="45"/>
    <s v="planning"/>
    <x v="2"/>
    <x v="0"/>
    <x v="14"/>
    <s v="TRONC COMMUN"/>
    <s v="oui"/>
    <s v="oui"/>
    <s v="oui"/>
    <s v="1 Ref Péda"/>
    <s v="non"/>
    <m/>
    <s v="individuel"/>
    <x v="2"/>
    <s v="Guide du référent 032024.pptx"/>
    <m/>
    <x v="0"/>
  </r>
  <r>
    <x v="46"/>
    <s v="planning"/>
    <x v="2"/>
    <x v="0"/>
    <x v="12"/>
    <m/>
    <s v="oui"/>
    <m/>
    <m/>
    <m/>
    <m/>
    <m/>
    <s v="mixte"/>
    <x v="2"/>
    <m/>
    <m/>
    <x v="1"/>
  </r>
  <r>
    <x v="47"/>
    <s v="planning"/>
    <x v="0"/>
    <x v="0"/>
    <x v="11"/>
    <m/>
    <s v="oui"/>
    <m/>
    <m/>
    <m/>
    <m/>
    <m/>
    <s v="individuel"/>
    <x v="2"/>
    <m/>
    <m/>
    <x v="1"/>
  </r>
  <r>
    <x v="48"/>
    <s v="planning"/>
    <x v="5"/>
    <x v="0"/>
    <x v="15"/>
    <m/>
    <s v="oui"/>
    <m/>
    <m/>
    <m/>
    <m/>
    <m/>
    <s v="mixte"/>
    <x v="1"/>
    <m/>
    <m/>
    <x v="1"/>
  </r>
  <r>
    <x v="49"/>
    <s v="planning"/>
    <x v="5"/>
    <x v="0"/>
    <x v="15"/>
    <m/>
    <s v="oui"/>
    <m/>
    <m/>
    <m/>
    <m/>
    <m/>
    <s v="individuel"/>
    <x v="1"/>
    <m/>
    <m/>
    <x v="1"/>
  </r>
  <r>
    <x v="50"/>
    <s v="hors-planning"/>
    <x v="2"/>
    <x v="4"/>
    <x v="12"/>
    <m/>
    <s v="non"/>
    <m/>
    <m/>
    <m/>
    <m/>
    <m/>
    <s v="individuel"/>
    <x v="2"/>
    <m/>
    <m/>
    <x v="1"/>
  </r>
  <r>
    <x v="51"/>
    <s v="hors-planning"/>
    <x v="2"/>
    <x v="5"/>
    <x v="12"/>
    <m/>
    <s v="non"/>
    <m/>
    <m/>
    <m/>
    <m/>
    <m/>
    <s v="individuel"/>
    <x v="2"/>
    <m/>
    <m/>
    <x v="1"/>
  </r>
  <r>
    <x v="52"/>
    <s v="hors-planning"/>
    <x v="0"/>
    <x v="0"/>
    <x v="11"/>
    <m/>
    <s v="oui"/>
    <m/>
    <m/>
    <m/>
    <m/>
    <m/>
    <s v="individuel"/>
    <x v="2"/>
    <m/>
    <m/>
    <x v="1"/>
  </r>
  <r>
    <x v="53"/>
    <s v="planning"/>
    <x v="2"/>
    <x v="0"/>
    <x v="12"/>
    <m/>
    <s v="oui"/>
    <m/>
    <m/>
    <m/>
    <m/>
    <m/>
    <s v="individuel"/>
    <x v="2"/>
    <m/>
    <m/>
    <x v="1"/>
  </r>
  <r>
    <x v="54"/>
    <s v="planning"/>
    <x v="2"/>
    <x v="0"/>
    <x v="12"/>
    <m/>
    <s v="oui"/>
    <m/>
    <m/>
    <m/>
    <m/>
    <m/>
    <s v="individuel"/>
    <x v="5"/>
    <m/>
    <m/>
    <x v="1"/>
  </r>
  <r>
    <x v="55"/>
    <s v="planning"/>
    <x v="2"/>
    <x v="2"/>
    <x v="9"/>
    <m/>
    <s v="non"/>
    <s v="oui"/>
    <s v="oui"/>
    <s v="1 Ref Péda"/>
    <s v="oui"/>
    <m/>
    <s v="individuel"/>
    <x v="1"/>
    <s v="02 - La répartition de mon temps"/>
    <s v="oui"/>
    <x v="0"/>
  </r>
  <r>
    <x v="56"/>
    <s v="planning"/>
    <x v="0"/>
    <x v="0"/>
    <x v="16"/>
    <m/>
    <s v="non"/>
    <s v="oui"/>
    <m/>
    <m/>
    <m/>
    <m/>
    <s v="individuel"/>
    <x v="2"/>
    <m/>
    <m/>
    <x v="1"/>
  </r>
  <r>
    <x v="57"/>
    <s v="planning"/>
    <x v="0"/>
    <x v="0"/>
    <x v="16"/>
    <m/>
    <s v="oui"/>
    <s v="oui"/>
    <m/>
    <m/>
    <m/>
    <m/>
    <s v="collectif"/>
    <x v="0"/>
    <m/>
    <m/>
    <x v="1"/>
  </r>
  <r>
    <x v="58"/>
    <s v="planning"/>
    <x v="5"/>
    <x v="2"/>
    <x v="16"/>
    <m/>
    <s v="non"/>
    <s v="oui"/>
    <m/>
    <m/>
    <m/>
    <m/>
    <s v="collectif"/>
    <x v="4"/>
    <m/>
    <m/>
    <x v="1"/>
  </r>
  <r>
    <x v="59"/>
    <s v="planning"/>
    <x v="2"/>
    <x v="2"/>
    <x v="9"/>
    <m/>
    <s v="oui"/>
    <s v="oui"/>
    <s v="oui"/>
    <s v="1 Ref Péda"/>
    <s v="oui"/>
    <s v="jeu concept"/>
    <s v="individuel"/>
    <x v="0"/>
    <s v="03 - Intro Parcoureo + concept"/>
    <s v="oui"/>
    <x v="0"/>
  </r>
  <r>
    <x v="60"/>
    <s v="planning"/>
    <x v="2"/>
    <x v="2"/>
    <x v="9"/>
    <m/>
    <s v="oui"/>
    <s v="oui"/>
    <s v="oui"/>
    <s v="1 Ref Péda"/>
    <s v="oui"/>
    <m/>
    <s v="individuel"/>
    <x v="1"/>
    <s v="00 - portrait en image (livrable de la période d'intégration)"/>
    <s v="oui"/>
    <x v="0"/>
  </r>
  <r>
    <x v="61"/>
    <s v="planning"/>
    <x v="2"/>
    <x v="1"/>
    <x v="12"/>
    <s v="J'y vais"/>
    <s v="non"/>
    <s v="oui"/>
    <m/>
    <m/>
    <m/>
    <m/>
    <s v="individuel"/>
    <x v="0"/>
    <m/>
    <m/>
    <x v="1"/>
  </r>
  <r>
    <x v="62"/>
    <s v="planning"/>
    <x v="2"/>
    <x v="1"/>
    <x v="12"/>
    <s v="J'explore"/>
    <s v="oui"/>
    <s v="oui"/>
    <m/>
    <m/>
    <m/>
    <m/>
    <s v="collectif"/>
    <x v="1"/>
    <m/>
    <m/>
    <x v="1"/>
  </r>
  <r>
    <x v="63"/>
    <s v="hors-planning"/>
    <x v="2"/>
    <x v="1"/>
    <x v="12"/>
    <s v="J'explore"/>
    <s v="non"/>
    <s v="oui"/>
    <m/>
    <m/>
    <m/>
    <m/>
    <s v="individuel"/>
    <x v="2"/>
    <m/>
    <m/>
    <x v="1"/>
  </r>
  <r>
    <x v="64"/>
    <s v="hors-planning"/>
    <x v="2"/>
    <x v="1"/>
    <x v="12"/>
    <s v="J'explore"/>
    <s v="non"/>
    <s v="oui"/>
    <m/>
    <m/>
    <m/>
    <m/>
    <s v="collectif"/>
    <x v="0"/>
    <m/>
    <m/>
    <x v="1"/>
  </r>
  <r>
    <x v="65"/>
    <s v="hors-planning"/>
    <x v="2"/>
    <x v="1"/>
    <x v="12"/>
    <s v="J'explore"/>
    <s v="non"/>
    <s v="oui"/>
    <m/>
    <m/>
    <m/>
    <m/>
    <s v="collectif"/>
    <x v="1"/>
    <m/>
    <m/>
    <x v="1"/>
  </r>
  <r>
    <x v="66"/>
    <s v="hors-planning"/>
    <x v="2"/>
    <x v="1"/>
    <x v="12"/>
    <s v="J'explore"/>
    <s v="non"/>
    <s v="oui"/>
    <m/>
    <m/>
    <m/>
    <m/>
    <s v="collectif"/>
    <x v="5"/>
    <m/>
    <m/>
    <x v="1"/>
  </r>
  <r>
    <x v="67"/>
    <s v="hors-planning"/>
    <x v="2"/>
    <x v="1"/>
    <x v="12"/>
    <s v="Je sais"/>
    <s v="non"/>
    <s v="oui"/>
    <m/>
    <m/>
    <m/>
    <m/>
    <m/>
    <x v="0"/>
    <m/>
    <m/>
    <x v="1"/>
  </r>
  <r>
    <x v="68"/>
    <s v="hors-planning"/>
    <x v="2"/>
    <x v="1"/>
    <x v="12"/>
    <s v="J'explore"/>
    <s v="non"/>
    <s v="oui"/>
    <m/>
    <m/>
    <m/>
    <m/>
    <s v="mixte"/>
    <x v="1"/>
    <m/>
    <m/>
    <x v="1"/>
  </r>
  <r>
    <x v="69"/>
    <s v="hors-planning"/>
    <x v="2"/>
    <x v="1"/>
    <x v="12"/>
    <s v="J'explore"/>
    <s v="non"/>
    <s v="oui"/>
    <m/>
    <m/>
    <m/>
    <m/>
    <s v="collectif"/>
    <x v="1"/>
    <m/>
    <m/>
    <x v="1"/>
  </r>
  <r>
    <x v="70"/>
    <s v="planning"/>
    <x v="0"/>
    <x v="1"/>
    <x v="12"/>
    <s v="J'explore"/>
    <s v="oui"/>
    <s v="oui"/>
    <m/>
    <m/>
    <m/>
    <m/>
    <s v="collectif"/>
    <x v="0"/>
    <m/>
    <m/>
    <x v="1"/>
  </r>
  <r>
    <x v="71"/>
    <s v="hors-planning"/>
    <x v="2"/>
    <x v="1"/>
    <x v="12"/>
    <s v="J'ai des idées"/>
    <s v="non"/>
    <s v="oui"/>
    <m/>
    <m/>
    <m/>
    <m/>
    <s v="collectif"/>
    <x v="0"/>
    <m/>
    <m/>
    <x v="1"/>
  </r>
  <r>
    <x v="72"/>
    <s v="hors-planning"/>
    <x v="2"/>
    <x v="1"/>
    <x v="12"/>
    <s v="Je sais"/>
    <s v="non"/>
    <s v="oui"/>
    <m/>
    <m/>
    <m/>
    <m/>
    <m/>
    <x v="5"/>
    <m/>
    <m/>
    <x v="1"/>
  </r>
  <r>
    <x v="73"/>
    <s v="hors-planning"/>
    <x v="2"/>
    <x v="1"/>
    <x v="12"/>
    <s v="J'explore"/>
    <s v="non"/>
    <s v="oui"/>
    <m/>
    <m/>
    <m/>
    <m/>
    <s v="mixte"/>
    <x v="1"/>
    <m/>
    <m/>
    <x v="1"/>
  </r>
  <r>
    <x v="74"/>
    <s v="hors-planning"/>
    <x v="2"/>
    <x v="1"/>
    <x v="12"/>
    <s v="J'explore"/>
    <s v="non"/>
    <s v="oui"/>
    <m/>
    <m/>
    <m/>
    <m/>
    <m/>
    <x v="1"/>
    <m/>
    <m/>
    <x v="1"/>
  </r>
  <r>
    <x v="75"/>
    <s v="planning"/>
    <x v="2"/>
    <x v="1"/>
    <x v="12"/>
    <s v="Je sais"/>
    <s v="non"/>
    <s v="oui"/>
    <m/>
    <m/>
    <m/>
    <m/>
    <s v="sous-groupe"/>
    <x v="4"/>
    <m/>
    <m/>
    <x v="1"/>
  </r>
  <r>
    <x v="76"/>
    <s v="hors-planning"/>
    <x v="2"/>
    <x v="1"/>
    <x v="12"/>
    <s v="J'explore"/>
    <s v="non"/>
    <s v="oui"/>
    <m/>
    <m/>
    <m/>
    <m/>
    <m/>
    <x v="1"/>
    <m/>
    <m/>
    <x v="1"/>
  </r>
  <r>
    <x v="77"/>
    <s v="hors-planning"/>
    <x v="2"/>
    <x v="1"/>
    <x v="12"/>
    <s v="Je sais"/>
    <s v="non"/>
    <s v="oui"/>
    <m/>
    <m/>
    <m/>
    <m/>
    <m/>
    <x v="2"/>
    <m/>
    <m/>
    <x v="1"/>
  </r>
  <r>
    <x v="78"/>
    <s v="hors-planning"/>
    <x v="2"/>
    <x v="1"/>
    <x v="12"/>
    <s v="J'ai des idées"/>
    <s v="non"/>
    <s v="oui"/>
    <m/>
    <m/>
    <m/>
    <m/>
    <m/>
    <x v="0"/>
    <m/>
    <m/>
    <x v="1"/>
  </r>
  <r>
    <x v="79"/>
    <s v="hors-planning"/>
    <x v="2"/>
    <x v="1"/>
    <x v="12"/>
    <s v="Je sais"/>
    <s v="non"/>
    <s v="oui"/>
    <m/>
    <m/>
    <m/>
    <m/>
    <s v="mixte"/>
    <x v="2"/>
    <m/>
    <m/>
    <x v="1"/>
  </r>
  <r>
    <x v="80"/>
    <s v="hors-planning"/>
    <x v="2"/>
    <x v="1"/>
    <x v="12"/>
    <s v="J'ai des idées"/>
    <s v="non"/>
    <s v="oui"/>
    <m/>
    <m/>
    <m/>
    <m/>
    <s v="collectif"/>
    <x v="5"/>
    <m/>
    <m/>
    <x v="1"/>
  </r>
  <r>
    <x v="81"/>
    <s v="hors-planning"/>
    <x v="2"/>
    <x v="1"/>
    <x v="12"/>
    <s v="Je sais"/>
    <s v="non"/>
    <s v="oui"/>
    <m/>
    <m/>
    <m/>
    <m/>
    <m/>
    <x v="0"/>
    <m/>
    <m/>
    <x v="1"/>
  </r>
  <r>
    <x v="82"/>
    <s v="hors-planning"/>
    <x v="0"/>
    <x v="1"/>
    <x v="11"/>
    <s v="J'y vais"/>
    <s v="non"/>
    <s v="oui"/>
    <m/>
    <m/>
    <m/>
    <m/>
    <m/>
    <x v="0"/>
    <m/>
    <m/>
    <x v="1"/>
  </r>
  <r>
    <x v="83"/>
    <s v="hors-planning"/>
    <x v="0"/>
    <x v="4"/>
    <x v="11"/>
    <s v="J'y vais"/>
    <s v="non"/>
    <s v="oui"/>
    <m/>
    <m/>
    <m/>
    <m/>
    <m/>
    <x v="0"/>
    <m/>
    <m/>
    <x v="1"/>
  </r>
  <r>
    <x v="84"/>
    <s v="hors-planning"/>
    <x v="0"/>
    <x v="1"/>
    <x v="11"/>
    <s v="J'y vais"/>
    <s v="non"/>
    <s v="oui"/>
    <m/>
    <m/>
    <m/>
    <m/>
    <m/>
    <x v="2"/>
    <m/>
    <m/>
    <x v="1"/>
  </r>
  <r>
    <x v="85"/>
    <s v="hors-planning"/>
    <x v="0"/>
    <x v="1"/>
    <x v="11"/>
    <s v="J'ai des idées"/>
    <s v="non"/>
    <s v="oui"/>
    <m/>
    <m/>
    <m/>
    <m/>
    <m/>
    <x v="5"/>
    <m/>
    <m/>
    <x v="1"/>
  </r>
  <r>
    <x v="86"/>
    <s v="hors-planning"/>
    <x v="2"/>
    <x v="1"/>
    <x v="12"/>
    <s v="J'ai des idées"/>
    <s v="non"/>
    <s v="oui"/>
    <m/>
    <m/>
    <m/>
    <m/>
    <m/>
    <x v="0"/>
    <m/>
    <m/>
    <x v="1"/>
  </r>
  <r>
    <x v="87"/>
    <s v="hors-planning"/>
    <x v="2"/>
    <x v="1"/>
    <x v="12"/>
    <s v="J'ai des idées"/>
    <s v="non"/>
    <s v="oui"/>
    <m/>
    <m/>
    <m/>
    <m/>
    <s v="individuel"/>
    <x v="2"/>
    <m/>
    <m/>
    <x v="1"/>
  </r>
  <r>
    <x v="88"/>
    <s v="hors-planning"/>
    <x v="2"/>
    <x v="1"/>
    <x v="12"/>
    <s v="J'explore"/>
    <s v="non"/>
    <s v="oui"/>
    <m/>
    <m/>
    <m/>
    <m/>
    <s v="individuel"/>
    <x v="1"/>
    <m/>
    <m/>
    <x v="1"/>
  </r>
  <r>
    <x v="89"/>
    <s v="hors-planning"/>
    <x v="2"/>
    <x v="1"/>
    <x v="12"/>
    <s v="J'ai des idées"/>
    <s v="non"/>
    <s v="oui"/>
    <m/>
    <m/>
    <m/>
    <m/>
    <s v="individuel"/>
    <x v="2"/>
    <m/>
    <m/>
    <x v="1"/>
  </r>
  <r>
    <x v="90"/>
    <s v="hors-planning"/>
    <x v="2"/>
    <x v="1"/>
    <x v="12"/>
    <s v="J'explore"/>
    <s v="non"/>
    <s v="oui"/>
    <m/>
    <m/>
    <m/>
    <m/>
    <s v="individuel"/>
    <x v="1"/>
    <m/>
    <m/>
    <x v="1"/>
  </r>
  <r>
    <x v="91"/>
    <s v="hors-planning"/>
    <x v="2"/>
    <x v="1"/>
    <x v="12"/>
    <s v="J'explore"/>
    <s v="non"/>
    <s v="oui"/>
    <m/>
    <m/>
    <m/>
    <m/>
    <s v="individuel"/>
    <x v="1"/>
    <m/>
    <m/>
    <x v="1"/>
  </r>
  <r>
    <x v="92"/>
    <s v="hors-planning"/>
    <x v="0"/>
    <x v="1"/>
    <x v="11"/>
    <s v="Je sais"/>
    <s v="non"/>
    <s v="oui"/>
    <m/>
    <m/>
    <m/>
    <m/>
    <s v="mixte"/>
    <x v="0"/>
    <m/>
    <m/>
    <x v="1"/>
  </r>
  <r>
    <x v="93"/>
    <s v="hors-planning"/>
    <x v="0"/>
    <x v="1"/>
    <x v="11"/>
    <s v="J'y vais"/>
    <s v="non"/>
    <s v="oui"/>
    <m/>
    <m/>
    <m/>
    <m/>
    <s v="collectif"/>
    <x v="0"/>
    <m/>
    <m/>
    <x v="1"/>
  </r>
  <r>
    <x v="94"/>
    <s v="planning"/>
    <x v="0"/>
    <x v="2"/>
    <x v="7"/>
    <s v="INTEGRATION"/>
    <s v="oui"/>
    <s v="oui"/>
    <s v="oui"/>
    <s v="1 Ref Péda"/>
    <s v="oui"/>
    <m/>
    <s v="collectif"/>
    <x v="0"/>
    <s v="C - Les métiers en tension"/>
    <s v="oui"/>
    <x v="0"/>
  </r>
  <r>
    <x v="95"/>
    <s v="hors-planning"/>
    <x v="0"/>
    <x v="1"/>
    <x v="7"/>
    <s v="TRONC COMMUN"/>
    <s v="non"/>
    <s v="oui"/>
    <s v="oui"/>
    <m/>
    <m/>
    <m/>
    <m/>
    <x v="0"/>
    <m/>
    <m/>
    <x v="1"/>
  </r>
  <r>
    <x v="96"/>
    <s v="planning"/>
    <x v="1"/>
    <x v="2"/>
    <x v="17"/>
    <s v="INTEGRATION"/>
    <s v="oui"/>
    <s v="oui"/>
    <m/>
    <m/>
    <m/>
    <m/>
    <s v="collectif"/>
    <x v="0"/>
    <m/>
    <m/>
    <x v="1"/>
  </r>
  <r>
    <x v="97"/>
    <s v="planning"/>
    <x v="0"/>
    <x v="2"/>
    <x v="18"/>
    <s v="INTEGRATION"/>
    <s v="oui"/>
    <s v="oui"/>
    <s v="oui"/>
    <s v="1 Ref Péda"/>
    <s v="oui"/>
    <s v="video-projecteur"/>
    <m/>
    <x v="0"/>
    <s v="16 - Tenue Professionnelle"/>
    <s v="oui"/>
    <x v="0"/>
  </r>
  <r>
    <x v="98"/>
    <s v="planning"/>
    <x v="5"/>
    <x v="2"/>
    <x v="9"/>
    <m/>
    <s v="oui"/>
    <s v="oui"/>
    <m/>
    <m/>
    <m/>
    <m/>
    <s v="individuel"/>
    <x v="0"/>
    <m/>
    <m/>
    <x v="1"/>
  </r>
  <r>
    <x v="99"/>
    <s v="hors-planning"/>
    <x v="2"/>
    <x v="1"/>
    <x v="12"/>
    <s v="J'explore"/>
    <s v="non"/>
    <s v="non"/>
    <m/>
    <m/>
    <m/>
    <m/>
    <m/>
    <x v="0"/>
    <m/>
    <m/>
    <x v="1"/>
  </r>
  <r>
    <x v="100"/>
    <s v="hors-planning"/>
    <x v="2"/>
    <x v="1"/>
    <x v="12"/>
    <s v="J'ai des idées"/>
    <s v="non"/>
    <s v="non"/>
    <m/>
    <m/>
    <m/>
    <m/>
    <m/>
    <x v="0"/>
    <m/>
    <m/>
    <x v="1"/>
  </r>
  <r>
    <x v="101"/>
    <s v="hors-planning"/>
    <x v="2"/>
    <x v="1"/>
    <x v="12"/>
    <s v="J'ai des idées"/>
    <s v="non"/>
    <s v="non"/>
    <m/>
    <m/>
    <m/>
    <m/>
    <m/>
    <x v="1"/>
    <m/>
    <m/>
    <x v="1"/>
  </r>
  <r>
    <x v="102"/>
    <s v="hors-planning"/>
    <x v="2"/>
    <x v="1"/>
    <x v="12"/>
    <s v="Je sais"/>
    <s v="non"/>
    <s v="non"/>
    <m/>
    <m/>
    <m/>
    <m/>
    <m/>
    <x v="5"/>
    <m/>
    <m/>
    <x v="1"/>
  </r>
  <r>
    <x v="103"/>
    <s v="hors-planning"/>
    <x v="2"/>
    <x v="1"/>
    <x v="12"/>
    <s v="Je sais"/>
    <s v="non"/>
    <s v="non"/>
    <m/>
    <m/>
    <m/>
    <m/>
    <s v="individuel"/>
    <x v="2"/>
    <m/>
    <m/>
    <x v="1"/>
  </r>
  <r>
    <x v="104"/>
    <s v="hors-planning"/>
    <x v="2"/>
    <x v="1"/>
    <x v="12"/>
    <s v="Je sais"/>
    <s v="non"/>
    <s v="non"/>
    <m/>
    <m/>
    <m/>
    <m/>
    <s v="individuel"/>
    <x v="0"/>
    <m/>
    <m/>
    <x v="1"/>
  </r>
  <r>
    <x v="105"/>
    <s v="hors-planning"/>
    <x v="2"/>
    <x v="1"/>
    <x v="12"/>
    <s v="J'y vais"/>
    <s v="non"/>
    <s v="non"/>
    <m/>
    <m/>
    <m/>
    <m/>
    <s v="mixte"/>
    <x v="2"/>
    <m/>
    <m/>
    <x v="1"/>
  </r>
  <r>
    <x v="106"/>
    <s v="planning"/>
    <x v="5"/>
    <x v="0"/>
    <x v="16"/>
    <m/>
    <s v="oui"/>
    <m/>
    <m/>
    <m/>
    <m/>
    <m/>
    <s v="mixte"/>
    <x v="2"/>
    <m/>
    <m/>
    <x v="1"/>
  </r>
  <r>
    <x v="107"/>
    <s v="planning"/>
    <x v="0"/>
    <x v="0"/>
    <x v="11"/>
    <m/>
    <s v="non"/>
    <m/>
    <m/>
    <m/>
    <m/>
    <m/>
    <s v="individuel"/>
    <x v="2"/>
    <m/>
    <m/>
    <x v="1"/>
  </r>
  <r>
    <x v="108"/>
    <s v="hors-planning"/>
    <x v="4"/>
    <x v="0"/>
    <x v="10"/>
    <s v="Expression orale"/>
    <s v="non"/>
    <s v="non"/>
    <m/>
    <m/>
    <m/>
    <m/>
    <s v="collectif"/>
    <x v="5"/>
    <m/>
    <m/>
    <x v="1"/>
  </r>
  <r>
    <x v="109"/>
    <s v="hors-planning"/>
    <x v="4"/>
    <x v="0"/>
    <x v="10"/>
    <s v="Expression orale"/>
    <s v="non"/>
    <s v="non"/>
    <m/>
    <m/>
    <m/>
    <m/>
    <s v="collectif"/>
    <x v="5"/>
    <m/>
    <m/>
    <x v="1"/>
  </r>
  <r>
    <x v="110"/>
    <s v="hors-planning"/>
    <x v="4"/>
    <x v="0"/>
    <x v="10"/>
    <s v="Expression orale"/>
    <s v="non"/>
    <s v="non"/>
    <m/>
    <m/>
    <m/>
    <m/>
    <s v="collectif"/>
    <x v="5"/>
    <m/>
    <m/>
    <x v="1"/>
  </r>
  <r>
    <x v="111"/>
    <s v="hors-planning"/>
    <x v="4"/>
    <x v="0"/>
    <x v="10"/>
    <s v="Expression orale"/>
    <s v="non"/>
    <s v="non"/>
    <m/>
    <m/>
    <m/>
    <m/>
    <s v="collectif"/>
    <x v="5"/>
    <m/>
    <m/>
    <x v="1"/>
  </r>
  <r>
    <x v="112"/>
    <s v="hors-planning"/>
    <x v="4"/>
    <x v="0"/>
    <x v="10"/>
    <s v="Expression orale"/>
    <s v="non"/>
    <s v="non"/>
    <m/>
    <m/>
    <m/>
    <m/>
    <s v="collectif"/>
    <x v="5"/>
    <m/>
    <m/>
    <x v="1"/>
  </r>
  <r>
    <x v="113"/>
    <s v="hors-planning"/>
    <x v="4"/>
    <x v="0"/>
    <x v="10"/>
    <s v="Expression orale"/>
    <s v="non"/>
    <s v="non"/>
    <m/>
    <m/>
    <m/>
    <m/>
    <s v="collectif"/>
    <x v="5"/>
    <m/>
    <m/>
    <x v="1"/>
  </r>
  <r>
    <x v="114"/>
    <s v="hors-planning"/>
    <x v="4"/>
    <x v="0"/>
    <x v="10"/>
    <s v="Expression orale"/>
    <s v="non"/>
    <s v="non"/>
    <m/>
    <m/>
    <m/>
    <m/>
    <s v="collectif"/>
    <x v="5"/>
    <m/>
    <m/>
    <x v="1"/>
  </r>
  <r>
    <x v="115"/>
    <s v="planning"/>
    <x v="4"/>
    <x v="1"/>
    <x v="10"/>
    <s v="Math"/>
    <s v="non"/>
    <s v="non"/>
    <m/>
    <m/>
    <m/>
    <m/>
    <s v="mixte"/>
    <x v="3"/>
    <m/>
    <m/>
    <x v="1"/>
  </r>
  <r>
    <x v="116"/>
    <s v="hors-planning"/>
    <x v="4"/>
    <x v="0"/>
    <x v="10"/>
    <s v="Français"/>
    <s v="non"/>
    <s v="non"/>
    <m/>
    <m/>
    <m/>
    <m/>
    <s v="individuel"/>
    <x v="3"/>
    <m/>
    <m/>
    <x v="1"/>
  </r>
  <r>
    <x v="117"/>
    <s v="hors-planning"/>
    <x v="4"/>
    <x v="0"/>
    <x v="10"/>
    <s v="Français"/>
    <s v="non"/>
    <s v="non"/>
    <m/>
    <m/>
    <m/>
    <m/>
    <s v="individuel"/>
    <x v="3"/>
    <m/>
    <m/>
    <x v="1"/>
  </r>
  <r>
    <x v="118"/>
    <s v="hors-planning"/>
    <x v="4"/>
    <x v="0"/>
    <x v="10"/>
    <s v="Français"/>
    <s v="non"/>
    <s v="non"/>
    <m/>
    <m/>
    <m/>
    <m/>
    <s v="individuel"/>
    <x v="3"/>
    <m/>
    <m/>
    <x v="1"/>
  </r>
  <r>
    <x v="119"/>
    <s v="hors-planning"/>
    <x v="4"/>
    <x v="0"/>
    <x v="10"/>
    <s v="Français"/>
    <s v="non"/>
    <s v="non"/>
    <m/>
    <m/>
    <m/>
    <m/>
    <s v="individuel"/>
    <x v="3"/>
    <m/>
    <m/>
    <x v="1"/>
  </r>
  <r>
    <x v="120"/>
    <s v="hors-planning"/>
    <x v="4"/>
    <x v="0"/>
    <x v="10"/>
    <s v="Français"/>
    <s v="non"/>
    <s v="non"/>
    <m/>
    <m/>
    <m/>
    <m/>
    <s v="individuel"/>
    <x v="3"/>
    <m/>
    <m/>
    <x v="1"/>
  </r>
  <r>
    <x v="121"/>
    <s v="hors-planning"/>
    <x v="4"/>
    <x v="0"/>
    <x v="10"/>
    <s v="Français"/>
    <s v="non"/>
    <s v="non"/>
    <m/>
    <m/>
    <m/>
    <m/>
    <s v="individuel"/>
    <x v="3"/>
    <m/>
    <m/>
    <x v="1"/>
  </r>
  <r>
    <x v="122"/>
    <s v="hors-planning"/>
    <x v="4"/>
    <x v="0"/>
    <x v="10"/>
    <s v="Français"/>
    <s v="non"/>
    <s v="non"/>
    <m/>
    <m/>
    <m/>
    <m/>
    <s v="individuel"/>
    <x v="3"/>
    <m/>
    <m/>
    <x v="1"/>
  </r>
  <r>
    <x v="123"/>
    <s v="hors-planning"/>
    <x v="4"/>
    <x v="0"/>
    <x v="10"/>
    <s v="Français"/>
    <s v="non"/>
    <s v="non"/>
    <m/>
    <m/>
    <m/>
    <m/>
    <s v="individuel"/>
    <x v="3"/>
    <m/>
    <m/>
    <x v="1"/>
  </r>
  <r>
    <x v="124"/>
    <s v="hors-planning"/>
    <x v="4"/>
    <x v="0"/>
    <x v="10"/>
    <s v="Français"/>
    <s v="non"/>
    <s v="non"/>
    <m/>
    <m/>
    <m/>
    <m/>
    <s v="individuel"/>
    <x v="3"/>
    <m/>
    <m/>
    <x v="1"/>
  </r>
  <r>
    <x v="125"/>
    <s v="hors-planning"/>
    <x v="4"/>
    <x v="0"/>
    <x v="10"/>
    <s v="Français"/>
    <s v="non"/>
    <s v="non"/>
    <m/>
    <m/>
    <m/>
    <m/>
    <s v="individuel"/>
    <x v="3"/>
    <m/>
    <m/>
    <x v="1"/>
  </r>
  <r>
    <x v="126"/>
    <s v="hors-planning"/>
    <x v="4"/>
    <x v="0"/>
    <x v="10"/>
    <s v="Français"/>
    <s v="non"/>
    <s v="non"/>
    <m/>
    <m/>
    <m/>
    <m/>
    <s v="individuel"/>
    <x v="3"/>
    <m/>
    <m/>
    <x v="1"/>
  </r>
  <r>
    <x v="127"/>
    <s v="hors-planning"/>
    <x v="4"/>
    <x v="0"/>
    <x v="10"/>
    <s v="Français"/>
    <s v="non"/>
    <s v="non"/>
    <m/>
    <m/>
    <m/>
    <m/>
    <s v="individuel"/>
    <x v="3"/>
    <m/>
    <m/>
    <x v="1"/>
  </r>
  <r>
    <x v="128"/>
    <s v="hors-planning"/>
    <x v="4"/>
    <x v="0"/>
    <x v="10"/>
    <s v="Français"/>
    <s v="non"/>
    <s v="non"/>
    <m/>
    <m/>
    <m/>
    <m/>
    <s v="individuel"/>
    <x v="3"/>
    <m/>
    <m/>
    <x v="1"/>
  </r>
  <r>
    <x v="129"/>
    <s v="hors-planning"/>
    <x v="4"/>
    <x v="0"/>
    <x v="10"/>
    <s v="Français"/>
    <s v="non"/>
    <s v="non"/>
    <m/>
    <m/>
    <m/>
    <m/>
    <s v="individuel"/>
    <x v="3"/>
    <m/>
    <m/>
    <x v="1"/>
  </r>
  <r>
    <x v="130"/>
    <s v="hors-planning"/>
    <x v="4"/>
    <x v="0"/>
    <x v="10"/>
    <s v="Français"/>
    <s v="non"/>
    <s v="non"/>
    <m/>
    <m/>
    <m/>
    <m/>
    <s v="individuel"/>
    <x v="3"/>
    <m/>
    <m/>
    <x v="1"/>
  </r>
  <r>
    <x v="131"/>
    <s v="hors-planning"/>
    <x v="4"/>
    <x v="0"/>
    <x v="10"/>
    <s v="Français"/>
    <s v="non"/>
    <s v="non"/>
    <m/>
    <m/>
    <m/>
    <m/>
    <s v="individuel"/>
    <x v="3"/>
    <m/>
    <m/>
    <x v="1"/>
  </r>
  <r>
    <x v="132"/>
    <s v="hors-planning"/>
    <x v="4"/>
    <x v="0"/>
    <x v="10"/>
    <s v="Français"/>
    <s v="non"/>
    <s v="non"/>
    <m/>
    <m/>
    <m/>
    <m/>
    <s v="individuel"/>
    <x v="3"/>
    <m/>
    <m/>
    <x v="1"/>
  </r>
  <r>
    <x v="133"/>
    <s v="hors-planning"/>
    <x v="4"/>
    <x v="0"/>
    <x v="10"/>
    <s v="Français"/>
    <s v="non"/>
    <s v="non"/>
    <m/>
    <m/>
    <m/>
    <m/>
    <s v="individuel"/>
    <x v="3"/>
    <m/>
    <m/>
    <x v="1"/>
  </r>
  <r>
    <x v="134"/>
    <s v="hors-planning"/>
    <x v="4"/>
    <x v="0"/>
    <x v="10"/>
    <s v="Français"/>
    <s v="non"/>
    <s v="non"/>
    <m/>
    <m/>
    <m/>
    <m/>
    <s v="individuel"/>
    <x v="3"/>
    <m/>
    <m/>
    <x v="1"/>
  </r>
  <r>
    <x v="135"/>
    <s v="hors-planning"/>
    <x v="4"/>
    <x v="0"/>
    <x v="10"/>
    <s v="Français"/>
    <s v="non"/>
    <s v="non"/>
    <m/>
    <m/>
    <m/>
    <m/>
    <s v="individuel"/>
    <x v="3"/>
    <m/>
    <m/>
    <x v="1"/>
  </r>
  <r>
    <x v="136"/>
    <s v="hors-planning"/>
    <x v="4"/>
    <x v="0"/>
    <x v="10"/>
    <s v="Français"/>
    <s v="non"/>
    <s v="non"/>
    <m/>
    <m/>
    <m/>
    <m/>
    <s v="individuel"/>
    <x v="3"/>
    <m/>
    <m/>
    <x v="1"/>
  </r>
  <r>
    <x v="137"/>
    <s v="hors-planning"/>
    <x v="4"/>
    <x v="0"/>
    <x v="10"/>
    <s v="Français"/>
    <s v="non"/>
    <s v="non"/>
    <m/>
    <m/>
    <m/>
    <m/>
    <s v="individuel"/>
    <x v="3"/>
    <m/>
    <m/>
    <x v="1"/>
  </r>
  <r>
    <x v="138"/>
    <s v="hors-planning"/>
    <x v="4"/>
    <x v="0"/>
    <x v="10"/>
    <s v="Français"/>
    <s v="non"/>
    <s v="non"/>
    <m/>
    <m/>
    <m/>
    <m/>
    <s v="individuel"/>
    <x v="3"/>
    <m/>
    <m/>
    <x v="1"/>
  </r>
  <r>
    <x v="139"/>
    <s v="hors-planning"/>
    <x v="4"/>
    <x v="0"/>
    <x v="10"/>
    <s v="Français"/>
    <s v="non"/>
    <s v="non"/>
    <m/>
    <m/>
    <m/>
    <m/>
    <s v="individuel"/>
    <x v="3"/>
    <m/>
    <m/>
    <x v="1"/>
  </r>
  <r>
    <x v="140"/>
    <s v="hors-planning"/>
    <x v="4"/>
    <x v="0"/>
    <x v="10"/>
    <s v="Français"/>
    <s v="non"/>
    <s v="non"/>
    <m/>
    <m/>
    <m/>
    <m/>
    <s v="individuel"/>
    <x v="3"/>
    <m/>
    <m/>
    <x v="1"/>
  </r>
  <r>
    <x v="141"/>
    <s v="hors-planning"/>
    <x v="4"/>
    <x v="0"/>
    <x v="10"/>
    <s v="Français"/>
    <s v="non"/>
    <s v="non"/>
    <m/>
    <m/>
    <m/>
    <m/>
    <s v="individuel"/>
    <x v="3"/>
    <m/>
    <m/>
    <x v="1"/>
  </r>
  <r>
    <x v="142"/>
    <s v="hors-planning"/>
    <x v="4"/>
    <x v="0"/>
    <x v="10"/>
    <s v="Français"/>
    <s v="non"/>
    <s v="non"/>
    <m/>
    <m/>
    <m/>
    <m/>
    <s v="individuel"/>
    <x v="3"/>
    <m/>
    <m/>
    <x v="1"/>
  </r>
  <r>
    <x v="143"/>
    <s v="hors-planning"/>
    <x v="4"/>
    <x v="0"/>
    <x v="10"/>
    <s v="Français"/>
    <s v="non"/>
    <s v="non"/>
    <m/>
    <m/>
    <m/>
    <m/>
    <s v="individuel"/>
    <x v="3"/>
    <m/>
    <m/>
    <x v="1"/>
  </r>
  <r>
    <x v="144"/>
    <s v="hors-planning"/>
    <x v="4"/>
    <x v="0"/>
    <x v="10"/>
    <s v="Français"/>
    <s v="non"/>
    <s v="non"/>
    <m/>
    <m/>
    <m/>
    <m/>
    <s v="individuel"/>
    <x v="3"/>
    <m/>
    <m/>
    <x v="1"/>
  </r>
  <r>
    <x v="145"/>
    <s v="hors-planning"/>
    <x v="4"/>
    <x v="0"/>
    <x v="10"/>
    <s v="Français"/>
    <s v="non"/>
    <s v="non"/>
    <m/>
    <m/>
    <m/>
    <m/>
    <s v="individuel"/>
    <x v="3"/>
    <m/>
    <m/>
    <x v="1"/>
  </r>
  <r>
    <x v="146"/>
    <s v="hors-planning"/>
    <x v="4"/>
    <x v="0"/>
    <x v="10"/>
    <s v="Français"/>
    <s v="non"/>
    <s v="non"/>
    <m/>
    <m/>
    <m/>
    <m/>
    <s v="individuel"/>
    <x v="3"/>
    <m/>
    <m/>
    <x v="1"/>
  </r>
  <r>
    <x v="147"/>
    <s v="hors-planning"/>
    <x v="4"/>
    <x v="0"/>
    <x v="10"/>
    <s v="Français"/>
    <s v="non"/>
    <s v="non"/>
    <m/>
    <m/>
    <m/>
    <m/>
    <s v="individuel"/>
    <x v="3"/>
    <m/>
    <m/>
    <x v="1"/>
  </r>
  <r>
    <x v="148"/>
    <s v="hors-planning"/>
    <x v="4"/>
    <x v="0"/>
    <x v="10"/>
    <s v="Français"/>
    <s v="non"/>
    <s v="non"/>
    <m/>
    <m/>
    <m/>
    <m/>
    <s v="individuel"/>
    <x v="3"/>
    <m/>
    <m/>
    <x v="1"/>
  </r>
  <r>
    <x v="149"/>
    <s v="hors-planning"/>
    <x v="4"/>
    <x v="0"/>
    <x v="10"/>
    <s v="Français"/>
    <s v="non"/>
    <s v="non"/>
    <m/>
    <m/>
    <m/>
    <m/>
    <s v="individuel"/>
    <x v="3"/>
    <m/>
    <m/>
    <x v="1"/>
  </r>
  <r>
    <x v="150"/>
    <s v="hors-planning"/>
    <x v="4"/>
    <x v="0"/>
    <x v="10"/>
    <s v="Français"/>
    <s v="non"/>
    <s v="non"/>
    <m/>
    <m/>
    <m/>
    <m/>
    <s v="individuel"/>
    <x v="3"/>
    <m/>
    <m/>
    <x v="1"/>
  </r>
  <r>
    <x v="151"/>
    <s v="hors-planning"/>
    <x v="4"/>
    <x v="0"/>
    <x v="10"/>
    <s v="Français"/>
    <s v="non"/>
    <s v="non"/>
    <m/>
    <m/>
    <m/>
    <m/>
    <s v="individuel"/>
    <x v="3"/>
    <m/>
    <m/>
    <x v="1"/>
  </r>
  <r>
    <x v="152"/>
    <s v="hors-planning"/>
    <x v="4"/>
    <x v="0"/>
    <x v="10"/>
    <s v="Français"/>
    <s v="non"/>
    <s v="non"/>
    <m/>
    <m/>
    <m/>
    <m/>
    <s v="individuel"/>
    <x v="3"/>
    <m/>
    <m/>
    <x v="1"/>
  </r>
  <r>
    <x v="153"/>
    <s v="hors-planning"/>
    <x v="4"/>
    <x v="0"/>
    <x v="10"/>
    <s v="Français"/>
    <s v="non"/>
    <s v="non"/>
    <m/>
    <m/>
    <m/>
    <m/>
    <s v="individuel"/>
    <x v="3"/>
    <m/>
    <m/>
    <x v="1"/>
  </r>
  <r>
    <x v="154"/>
    <s v="hors-planning"/>
    <x v="4"/>
    <x v="0"/>
    <x v="10"/>
    <s v="Français"/>
    <s v="non"/>
    <s v="non"/>
    <m/>
    <m/>
    <m/>
    <m/>
    <s v="individuel"/>
    <x v="3"/>
    <m/>
    <m/>
    <x v="1"/>
  </r>
  <r>
    <x v="155"/>
    <s v="hors-planning"/>
    <x v="4"/>
    <x v="0"/>
    <x v="10"/>
    <s v="Français"/>
    <s v="non"/>
    <s v="non"/>
    <m/>
    <m/>
    <m/>
    <m/>
    <s v="individuel"/>
    <x v="3"/>
    <m/>
    <m/>
    <x v="1"/>
  </r>
  <r>
    <x v="156"/>
    <s v="planning"/>
    <x v="4"/>
    <x v="2"/>
    <x v="9"/>
    <m/>
    <s v="non"/>
    <s v="non"/>
    <m/>
    <m/>
    <m/>
    <m/>
    <s v="individuel"/>
    <x v="3"/>
    <m/>
    <m/>
    <x v="1"/>
  </r>
  <r>
    <x v="157"/>
    <s v="hors-planning"/>
    <x v="4"/>
    <x v="0"/>
    <x v="10"/>
    <s v="Informatique"/>
    <s v="non"/>
    <s v="non"/>
    <m/>
    <m/>
    <m/>
    <m/>
    <s v="individuel"/>
    <x v="3"/>
    <m/>
    <m/>
    <x v="1"/>
  </r>
  <r>
    <x v="158"/>
    <s v="hors-planning"/>
    <x v="4"/>
    <x v="0"/>
    <x v="10"/>
    <s v="Informatique"/>
    <s v="non"/>
    <s v="non"/>
    <m/>
    <m/>
    <m/>
    <m/>
    <s v="individuel"/>
    <x v="3"/>
    <m/>
    <m/>
    <x v="1"/>
  </r>
  <r>
    <x v="159"/>
    <s v="hors-planning"/>
    <x v="4"/>
    <x v="0"/>
    <x v="10"/>
    <s v="Informatique"/>
    <s v="non"/>
    <s v="non"/>
    <m/>
    <m/>
    <m/>
    <m/>
    <s v="individuel"/>
    <x v="3"/>
    <m/>
    <m/>
    <x v="1"/>
  </r>
  <r>
    <x v="160"/>
    <s v="hors-planning"/>
    <x v="4"/>
    <x v="0"/>
    <x v="10"/>
    <s v="Informatique"/>
    <s v="non"/>
    <s v="non"/>
    <m/>
    <m/>
    <m/>
    <m/>
    <s v="individuel"/>
    <x v="3"/>
    <m/>
    <m/>
    <x v="1"/>
  </r>
  <r>
    <x v="161"/>
    <s v="hors-planning"/>
    <x v="4"/>
    <x v="0"/>
    <x v="10"/>
    <s v="Informatique"/>
    <s v="non"/>
    <s v="non"/>
    <m/>
    <m/>
    <m/>
    <m/>
    <s v="individuel"/>
    <x v="3"/>
    <m/>
    <m/>
    <x v="1"/>
  </r>
  <r>
    <x v="162"/>
    <s v="hors-planning"/>
    <x v="4"/>
    <x v="0"/>
    <x v="10"/>
    <s v="Informatique"/>
    <s v="non"/>
    <s v="non"/>
    <m/>
    <m/>
    <m/>
    <m/>
    <s v="individuel"/>
    <x v="3"/>
    <m/>
    <m/>
    <x v="1"/>
  </r>
  <r>
    <x v="163"/>
    <s v="hors-planning"/>
    <x v="4"/>
    <x v="0"/>
    <x v="10"/>
    <s v="Informatique"/>
    <s v="non"/>
    <s v="non"/>
    <m/>
    <m/>
    <m/>
    <m/>
    <s v="individuel"/>
    <x v="3"/>
    <m/>
    <m/>
    <x v="1"/>
  </r>
  <r>
    <x v="164"/>
    <s v="hors-planning"/>
    <x v="4"/>
    <x v="0"/>
    <x v="10"/>
    <s v="Informatique"/>
    <s v="non"/>
    <s v="non"/>
    <m/>
    <m/>
    <m/>
    <m/>
    <s v="individuel"/>
    <x v="3"/>
    <m/>
    <m/>
    <x v="1"/>
  </r>
  <r>
    <x v="165"/>
    <s v="hors-planning"/>
    <x v="4"/>
    <x v="0"/>
    <x v="10"/>
    <s v="Informatique"/>
    <s v="non"/>
    <s v="non"/>
    <m/>
    <m/>
    <m/>
    <m/>
    <s v="individuel"/>
    <x v="3"/>
    <m/>
    <m/>
    <x v="1"/>
  </r>
  <r>
    <x v="166"/>
    <s v="hors-planning"/>
    <x v="4"/>
    <x v="0"/>
    <x v="10"/>
    <s v="Informatique"/>
    <s v="non"/>
    <s v="non"/>
    <m/>
    <m/>
    <m/>
    <m/>
    <s v="individuel"/>
    <x v="3"/>
    <m/>
    <m/>
    <x v="1"/>
  </r>
  <r>
    <x v="167"/>
    <s v="hors-planning"/>
    <x v="4"/>
    <x v="0"/>
    <x v="10"/>
    <s v="Informatique"/>
    <s v="non"/>
    <s v="non"/>
    <m/>
    <m/>
    <m/>
    <m/>
    <s v="individuel"/>
    <x v="3"/>
    <m/>
    <m/>
    <x v="1"/>
  </r>
  <r>
    <x v="168"/>
    <s v="hors-planning"/>
    <x v="4"/>
    <x v="0"/>
    <x v="10"/>
    <s v="Informatique"/>
    <s v="non"/>
    <s v="non"/>
    <m/>
    <m/>
    <m/>
    <m/>
    <s v="individuel"/>
    <x v="3"/>
    <m/>
    <m/>
    <x v="1"/>
  </r>
  <r>
    <x v="169"/>
    <s v="hors-planning"/>
    <x v="4"/>
    <x v="0"/>
    <x v="10"/>
    <s v="Informatique"/>
    <s v="non"/>
    <s v="non"/>
    <m/>
    <m/>
    <m/>
    <m/>
    <s v="individuel"/>
    <x v="3"/>
    <m/>
    <m/>
    <x v="1"/>
  </r>
  <r>
    <x v="170"/>
    <s v="hors-planning"/>
    <x v="4"/>
    <x v="0"/>
    <x v="10"/>
    <s v="Informatique"/>
    <s v="non"/>
    <s v="non"/>
    <m/>
    <m/>
    <m/>
    <m/>
    <s v="individuel"/>
    <x v="3"/>
    <m/>
    <m/>
    <x v="1"/>
  </r>
  <r>
    <x v="171"/>
    <s v="hors-planning"/>
    <x v="4"/>
    <x v="0"/>
    <x v="10"/>
    <s v="Informatique"/>
    <s v="non"/>
    <s v="non"/>
    <m/>
    <m/>
    <m/>
    <m/>
    <s v="individuel"/>
    <x v="3"/>
    <m/>
    <m/>
    <x v="1"/>
  </r>
  <r>
    <x v="172"/>
    <s v="hors-planning"/>
    <x v="4"/>
    <x v="0"/>
    <x v="10"/>
    <s v="Informatique"/>
    <s v="non"/>
    <s v="non"/>
    <m/>
    <m/>
    <m/>
    <m/>
    <s v="individuel"/>
    <x v="3"/>
    <m/>
    <m/>
    <x v="1"/>
  </r>
  <r>
    <x v="173"/>
    <s v="hors-planning"/>
    <x v="4"/>
    <x v="0"/>
    <x v="10"/>
    <s v="Informatique"/>
    <s v="non"/>
    <s v="non"/>
    <m/>
    <m/>
    <m/>
    <m/>
    <s v="individuel"/>
    <x v="3"/>
    <m/>
    <m/>
    <x v="1"/>
  </r>
  <r>
    <x v="174"/>
    <s v="hors-planning"/>
    <x v="4"/>
    <x v="0"/>
    <x v="10"/>
    <s v="Informatique"/>
    <s v="non"/>
    <s v="non"/>
    <m/>
    <m/>
    <m/>
    <m/>
    <s v="individuel"/>
    <x v="3"/>
    <m/>
    <m/>
    <x v="1"/>
  </r>
  <r>
    <x v="175"/>
    <s v="hors-planning"/>
    <x v="4"/>
    <x v="0"/>
    <x v="10"/>
    <s v="Informatique"/>
    <s v="non"/>
    <s v="non"/>
    <m/>
    <m/>
    <m/>
    <m/>
    <s v="individuel"/>
    <x v="3"/>
    <m/>
    <m/>
    <x v="1"/>
  </r>
  <r>
    <x v="176"/>
    <s v="hors-planning"/>
    <x v="4"/>
    <x v="0"/>
    <x v="10"/>
    <s v="Informatique"/>
    <s v="non"/>
    <s v="non"/>
    <m/>
    <m/>
    <m/>
    <m/>
    <s v="individuel"/>
    <x v="3"/>
    <m/>
    <m/>
    <x v="1"/>
  </r>
  <r>
    <x v="177"/>
    <s v="hors-planning"/>
    <x v="4"/>
    <x v="0"/>
    <x v="10"/>
    <s v="Informatique"/>
    <s v="non"/>
    <s v="non"/>
    <m/>
    <m/>
    <m/>
    <m/>
    <s v="individuel"/>
    <x v="3"/>
    <m/>
    <m/>
    <x v="1"/>
  </r>
  <r>
    <x v="178"/>
    <s v="hors-planning"/>
    <x v="4"/>
    <x v="0"/>
    <x v="10"/>
    <s v="Informatique"/>
    <s v="non"/>
    <s v="non"/>
    <m/>
    <m/>
    <m/>
    <m/>
    <s v="individuel"/>
    <x v="3"/>
    <m/>
    <m/>
    <x v="1"/>
  </r>
  <r>
    <x v="179"/>
    <s v="hors-planning"/>
    <x v="4"/>
    <x v="0"/>
    <x v="10"/>
    <s v="Informatique"/>
    <s v="non"/>
    <s v="non"/>
    <m/>
    <m/>
    <m/>
    <m/>
    <s v="individuel"/>
    <x v="3"/>
    <m/>
    <m/>
    <x v="1"/>
  </r>
  <r>
    <x v="180"/>
    <s v="hors-planning"/>
    <x v="4"/>
    <x v="0"/>
    <x v="10"/>
    <s v="Informatique"/>
    <s v="non"/>
    <s v="non"/>
    <m/>
    <m/>
    <m/>
    <m/>
    <s v="individuel"/>
    <x v="3"/>
    <m/>
    <m/>
    <x v="1"/>
  </r>
  <r>
    <x v="181"/>
    <s v="hors-planning"/>
    <x v="4"/>
    <x v="0"/>
    <x v="10"/>
    <s v="Informatique"/>
    <s v="non"/>
    <s v="non"/>
    <m/>
    <m/>
    <m/>
    <m/>
    <s v="individuel"/>
    <x v="3"/>
    <m/>
    <m/>
    <x v="1"/>
  </r>
  <r>
    <x v="182"/>
    <s v="hors-planning"/>
    <x v="4"/>
    <x v="0"/>
    <x v="10"/>
    <s v="Informatique"/>
    <s v="non"/>
    <s v="non"/>
    <m/>
    <m/>
    <m/>
    <m/>
    <s v="individuel"/>
    <x v="3"/>
    <m/>
    <m/>
    <x v="1"/>
  </r>
  <r>
    <x v="183"/>
    <s v="hors-planning"/>
    <x v="4"/>
    <x v="0"/>
    <x v="10"/>
    <s v="Informatique"/>
    <s v="non"/>
    <s v="non"/>
    <m/>
    <m/>
    <m/>
    <m/>
    <s v="individuel"/>
    <x v="3"/>
    <m/>
    <m/>
    <x v="1"/>
  </r>
  <r>
    <x v="184"/>
    <s v="hors-planning"/>
    <x v="4"/>
    <x v="0"/>
    <x v="10"/>
    <s v="Informatique"/>
    <s v="non"/>
    <s v="non"/>
    <m/>
    <m/>
    <m/>
    <m/>
    <s v="individuel"/>
    <x v="3"/>
    <m/>
    <m/>
    <x v="1"/>
  </r>
  <r>
    <x v="185"/>
    <s v="hors-planning"/>
    <x v="4"/>
    <x v="0"/>
    <x v="10"/>
    <s v="Informatique"/>
    <s v="non"/>
    <s v="non"/>
    <m/>
    <m/>
    <m/>
    <m/>
    <s v="individuel"/>
    <x v="3"/>
    <m/>
    <m/>
    <x v="1"/>
  </r>
  <r>
    <x v="186"/>
    <s v="hors-planning"/>
    <x v="4"/>
    <x v="0"/>
    <x v="10"/>
    <s v="Informatique"/>
    <s v="non"/>
    <s v="non"/>
    <m/>
    <m/>
    <m/>
    <m/>
    <s v="individuel"/>
    <x v="3"/>
    <m/>
    <m/>
    <x v="1"/>
  </r>
  <r>
    <x v="187"/>
    <s v="hors-planning"/>
    <x v="4"/>
    <x v="0"/>
    <x v="10"/>
    <s v="Informatique"/>
    <s v="non"/>
    <s v="non"/>
    <m/>
    <m/>
    <m/>
    <m/>
    <s v="individuel"/>
    <x v="3"/>
    <m/>
    <m/>
    <x v="1"/>
  </r>
  <r>
    <x v="188"/>
    <s v="hors-planning"/>
    <x v="4"/>
    <x v="0"/>
    <x v="10"/>
    <s v="Informatique"/>
    <s v="non"/>
    <s v="non"/>
    <m/>
    <m/>
    <m/>
    <m/>
    <s v="individuel"/>
    <x v="3"/>
    <m/>
    <m/>
    <x v="1"/>
  </r>
  <r>
    <x v="189"/>
    <s v="hors-planning"/>
    <x v="4"/>
    <x v="0"/>
    <x v="10"/>
    <s v="Informatique"/>
    <s v="non"/>
    <s v="non"/>
    <m/>
    <m/>
    <m/>
    <m/>
    <s v="individuel"/>
    <x v="3"/>
    <m/>
    <m/>
    <x v="1"/>
  </r>
  <r>
    <x v="190"/>
    <s v="hors-planning"/>
    <x v="4"/>
    <x v="0"/>
    <x v="10"/>
    <s v="Informatique"/>
    <s v="non"/>
    <s v="non"/>
    <m/>
    <m/>
    <m/>
    <m/>
    <s v="individuel"/>
    <x v="3"/>
    <m/>
    <m/>
    <x v="1"/>
  </r>
  <r>
    <x v="191"/>
    <s v="hors-planning"/>
    <x v="4"/>
    <x v="0"/>
    <x v="10"/>
    <s v="Informatique"/>
    <s v="non"/>
    <s v="non"/>
    <m/>
    <m/>
    <m/>
    <m/>
    <s v="individuel"/>
    <x v="3"/>
    <m/>
    <m/>
    <x v="1"/>
  </r>
  <r>
    <x v="192"/>
    <s v="hors-planning"/>
    <x v="4"/>
    <x v="0"/>
    <x v="10"/>
    <s v="Informatique"/>
    <s v="non"/>
    <s v="non"/>
    <m/>
    <m/>
    <m/>
    <m/>
    <s v="individuel"/>
    <x v="3"/>
    <m/>
    <m/>
    <x v="1"/>
  </r>
  <r>
    <x v="193"/>
    <s v="hors-planning"/>
    <x v="4"/>
    <x v="0"/>
    <x v="10"/>
    <s v="Informatique"/>
    <s v="non"/>
    <s v="non"/>
    <m/>
    <m/>
    <m/>
    <m/>
    <s v="individuel"/>
    <x v="3"/>
    <m/>
    <m/>
    <x v="1"/>
  </r>
  <r>
    <x v="194"/>
    <s v="hors-planning"/>
    <x v="4"/>
    <x v="0"/>
    <x v="10"/>
    <s v="Informatique"/>
    <s v="non"/>
    <s v="non"/>
    <m/>
    <m/>
    <m/>
    <m/>
    <s v="individuel"/>
    <x v="3"/>
    <m/>
    <m/>
    <x v="1"/>
  </r>
  <r>
    <x v="195"/>
    <s v="hors-planning"/>
    <x v="4"/>
    <x v="0"/>
    <x v="10"/>
    <s v="Informatique"/>
    <s v="non"/>
    <s v="non"/>
    <m/>
    <m/>
    <m/>
    <m/>
    <s v="individuel"/>
    <x v="3"/>
    <m/>
    <m/>
    <x v="1"/>
  </r>
  <r>
    <x v="196"/>
    <s v="hors-planning"/>
    <x v="4"/>
    <x v="0"/>
    <x v="10"/>
    <s v="Informatique"/>
    <s v="non"/>
    <s v="non"/>
    <m/>
    <m/>
    <m/>
    <m/>
    <s v="individuel"/>
    <x v="3"/>
    <m/>
    <m/>
    <x v="1"/>
  </r>
  <r>
    <x v="197"/>
    <s v="hors-planning"/>
    <x v="4"/>
    <x v="0"/>
    <x v="10"/>
    <s v="Informatique"/>
    <s v="non"/>
    <s v="non"/>
    <m/>
    <m/>
    <m/>
    <m/>
    <s v="individuel"/>
    <x v="3"/>
    <m/>
    <m/>
    <x v="1"/>
  </r>
  <r>
    <x v="198"/>
    <s v="hors-planning"/>
    <x v="4"/>
    <x v="0"/>
    <x v="10"/>
    <s v="Informatique"/>
    <s v="non"/>
    <s v="non"/>
    <m/>
    <m/>
    <m/>
    <m/>
    <s v="individuel"/>
    <x v="3"/>
    <m/>
    <m/>
    <x v="1"/>
  </r>
  <r>
    <x v="199"/>
    <s v="planning"/>
    <x v="4"/>
    <x v="0"/>
    <x v="10"/>
    <s v="Informatique"/>
    <s v="non"/>
    <s v="non"/>
    <m/>
    <m/>
    <m/>
    <m/>
    <s v="individuel"/>
    <x v="3"/>
    <m/>
    <m/>
    <x v="1"/>
  </r>
  <r>
    <x v="200"/>
    <s v="hors-planning"/>
    <x v="4"/>
    <x v="0"/>
    <x v="10"/>
    <s v="Informatique"/>
    <s v="non"/>
    <s v="non"/>
    <m/>
    <m/>
    <m/>
    <m/>
    <s v="individuel"/>
    <x v="3"/>
    <m/>
    <m/>
    <x v="1"/>
  </r>
  <r>
    <x v="201"/>
    <s v="planning"/>
    <x v="4"/>
    <x v="0"/>
    <x v="10"/>
    <s v="Informatique"/>
    <s v="non"/>
    <s v="non"/>
    <m/>
    <m/>
    <m/>
    <m/>
    <s v="individuel"/>
    <x v="3"/>
    <m/>
    <m/>
    <x v="1"/>
  </r>
  <r>
    <x v="202"/>
    <s v="planning"/>
    <x v="6"/>
    <x v="1"/>
    <x v="19"/>
    <m/>
    <s v="oui"/>
    <s v="non"/>
    <m/>
    <m/>
    <m/>
    <m/>
    <s v="individuel"/>
    <x v="3"/>
    <m/>
    <m/>
    <x v="1"/>
  </r>
  <r>
    <x v="203"/>
    <s v="hors-planning"/>
    <x v="4"/>
    <x v="0"/>
    <x v="10"/>
    <s v="Math"/>
    <s v="non"/>
    <s v="non"/>
    <m/>
    <m/>
    <m/>
    <m/>
    <s v="individuel"/>
    <x v="3"/>
    <m/>
    <m/>
    <x v="1"/>
  </r>
  <r>
    <x v="204"/>
    <s v="hors-planning"/>
    <x v="4"/>
    <x v="0"/>
    <x v="10"/>
    <s v="Math"/>
    <s v="non"/>
    <s v="non"/>
    <m/>
    <m/>
    <m/>
    <m/>
    <s v="individuel"/>
    <x v="3"/>
    <m/>
    <m/>
    <x v="1"/>
  </r>
  <r>
    <x v="205"/>
    <s v="hors-planning"/>
    <x v="4"/>
    <x v="0"/>
    <x v="10"/>
    <s v="Math"/>
    <s v="non"/>
    <s v="non"/>
    <m/>
    <m/>
    <m/>
    <m/>
    <s v="individuel"/>
    <x v="3"/>
    <m/>
    <m/>
    <x v="1"/>
  </r>
  <r>
    <x v="206"/>
    <s v="hors-planning"/>
    <x v="4"/>
    <x v="0"/>
    <x v="10"/>
    <s v="Math"/>
    <s v="non"/>
    <s v="non"/>
    <m/>
    <m/>
    <m/>
    <m/>
    <s v="individuel"/>
    <x v="3"/>
    <m/>
    <m/>
    <x v="1"/>
  </r>
  <r>
    <x v="207"/>
    <s v="hors-planning"/>
    <x v="4"/>
    <x v="0"/>
    <x v="10"/>
    <s v="Math"/>
    <s v="non"/>
    <s v="non"/>
    <m/>
    <m/>
    <m/>
    <m/>
    <s v="individuel"/>
    <x v="3"/>
    <m/>
    <m/>
    <x v="1"/>
  </r>
  <r>
    <x v="208"/>
    <s v="hors-planning"/>
    <x v="4"/>
    <x v="0"/>
    <x v="10"/>
    <s v="Math"/>
    <s v="non"/>
    <s v="non"/>
    <m/>
    <m/>
    <m/>
    <m/>
    <s v="individuel"/>
    <x v="3"/>
    <m/>
    <m/>
    <x v="1"/>
  </r>
  <r>
    <x v="209"/>
    <s v="hors-planning"/>
    <x v="4"/>
    <x v="0"/>
    <x v="10"/>
    <s v="Math"/>
    <s v="non"/>
    <s v="non"/>
    <m/>
    <m/>
    <m/>
    <m/>
    <s v="individuel"/>
    <x v="3"/>
    <m/>
    <m/>
    <x v="1"/>
  </r>
  <r>
    <x v="210"/>
    <s v="hors-planning"/>
    <x v="4"/>
    <x v="0"/>
    <x v="10"/>
    <s v="Math"/>
    <s v="non"/>
    <s v="non"/>
    <m/>
    <m/>
    <m/>
    <m/>
    <s v="individuel"/>
    <x v="3"/>
    <m/>
    <m/>
    <x v="1"/>
  </r>
  <r>
    <x v="211"/>
    <s v="hors-planning"/>
    <x v="4"/>
    <x v="0"/>
    <x v="10"/>
    <s v="Math"/>
    <s v="non"/>
    <s v="non"/>
    <m/>
    <m/>
    <m/>
    <m/>
    <s v="individuel"/>
    <x v="3"/>
    <m/>
    <m/>
    <x v="1"/>
  </r>
  <r>
    <x v="212"/>
    <s v="hors-planning"/>
    <x v="4"/>
    <x v="0"/>
    <x v="10"/>
    <s v="Math"/>
    <s v="non"/>
    <s v="non"/>
    <m/>
    <m/>
    <m/>
    <m/>
    <s v="individuel"/>
    <x v="3"/>
    <m/>
    <m/>
    <x v="1"/>
  </r>
  <r>
    <x v="213"/>
    <s v="hors-planning"/>
    <x v="4"/>
    <x v="0"/>
    <x v="10"/>
    <s v="Math"/>
    <s v="non"/>
    <s v="non"/>
    <m/>
    <m/>
    <m/>
    <m/>
    <s v="individuel"/>
    <x v="3"/>
    <m/>
    <m/>
    <x v="1"/>
  </r>
  <r>
    <x v="214"/>
    <s v="hors-planning"/>
    <x v="4"/>
    <x v="0"/>
    <x v="10"/>
    <s v="Math"/>
    <s v="non"/>
    <s v="non"/>
    <m/>
    <m/>
    <m/>
    <m/>
    <s v="individuel"/>
    <x v="3"/>
    <m/>
    <m/>
    <x v="1"/>
  </r>
  <r>
    <x v="215"/>
    <s v="hors-planning"/>
    <x v="4"/>
    <x v="0"/>
    <x v="10"/>
    <s v="Math"/>
    <s v="non"/>
    <s v="non"/>
    <m/>
    <m/>
    <m/>
    <m/>
    <s v="individuel"/>
    <x v="3"/>
    <m/>
    <m/>
    <x v="1"/>
  </r>
  <r>
    <x v="216"/>
    <s v="hors-planning"/>
    <x v="4"/>
    <x v="0"/>
    <x v="10"/>
    <s v="Math"/>
    <s v="non"/>
    <s v="non"/>
    <m/>
    <m/>
    <m/>
    <m/>
    <s v="individuel"/>
    <x v="3"/>
    <m/>
    <m/>
    <x v="1"/>
  </r>
  <r>
    <x v="217"/>
    <s v="hors-planning"/>
    <x v="4"/>
    <x v="0"/>
    <x v="10"/>
    <s v="Math"/>
    <s v="non"/>
    <s v="non"/>
    <m/>
    <m/>
    <m/>
    <m/>
    <s v="individuel"/>
    <x v="3"/>
    <m/>
    <m/>
    <x v="1"/>
  </r>
  <r>
    <x v="218"/>
    <s v="hors-planning"/>
    <x v="4"/>
    <x v="0"/>
    <x v="10"/>
    <s v="Math"/>
    <s v="non"/>
    <s v="non"/>
    <m/>
    <m/>
    <m/>
    <m/>
    <s v="individuel"/>
    <x v="3"/>
    <m/>
    <m/>
    <x v="1"/>
  </r>
  <r>
    <x v="219"/>
    <s v="hors-planning"/>
    <x v="4"/>
    <x v="0"/>
    <x v="10"/>
    <s v="Math"/>
    <s v="non"/>
    <s v="non"/>
    <m/>
    <m/>
    <m/>
    <m/>
    <s v="individuel"/>
    <x v="3"/>
    <m/>
    <m/>
    <x v="1"/>
  </r>
  <r>
    <x v="220"/>
    <s v="hors-planning"/>
    <x v="4"/>
    <x v="0"/>
    <x v="10"/>
    <s v="Math"/>
    <s v="non"/>
    <s v="non"/>
    <m/>
    <m/>
    <m/>
    <m/>
    <s v="individuel"/>
    <x v="3"/>
    <m/>
    <m/>
    <x v="1"/>
  </r>
  <r>
    <x v="221"/>
    <s v="hors-planning"/>
    <x v="4"/>
    <x v="0"/>
    <x v="10"/>
    <s v="Math"/>
    <s v="non"/>
    <s v="non"/>
    <m/>
    <m/>
    <m/>
    <m/>
    <s v="individuel"/>
    <x v="3"/>
    <m/>
    <m/>
    <x v="1"/>
  </r>
  <r>
    <x v="222"/>
    <s v="hors-planning"/>
    <x v="4"/>
    <x v="0"/>
    <x v="10"/>
    <s v="Math"/>
    <s v="non"/>
    <s v="non"/>
    <m/>
    <m/>
    <m/>
    <m/>
    <s v="individuel"/>
    <x v="3"/>
    <m/>
    <m/>
    <x v="1"/>
  </r>
  <r>
    <x v="223"/>
    <s v="hors-planning"/>
    <x v="4"/>
    <x v="0"/>
    <x v="10"/>
    <s v="Math"/>
    <s v="non"/>
    <s v="non"/>
    <m/>
    <m/>
    <m/>
    <m/>
    <s v="individuel"/>
    <x v="3"/>
    <m/>
    <m/>
    <x v="1"/>
  </r>
  <r>
    <x v="224"/>
    <s v="hors-planning"/>
    <x v="4"/>
    <x v="0"/>
    <x v="10"/>
    <s v="Math"/>
    <s v="non"/>
    <s v="non"/>
    <m/>
    <m/>
    <m/>
    <m/>
    <s v="individuel"/>
    <x v="3"/>
    <m/>
    <m/>
    <x v="1"/>
  </r>
  <r>
    <x v="225"/>
    <s v="hors-planning"/>
    <x v="4"/>
    <x v="0"/>
    <x v="10"/>
    <s v="Math"/>
    <s v="non"/>
    <s v="non"/>
    <m/>
    <m/>
    <m/>
    <m/>
    <s v="individuel"/>
    <x v="3"/>
    <m/>
    <m/>
    <x v="1"/>
  </r>
  <r>
    <x v="226"/>
    <s v="hors-planning"/>
    <x v="4"/>
    <x v="0"/>
    <x v="10"/>
    <s v="Math"/>
    <s v="non"/>
    <s v="non"/>
    <m/>
    <m/>
    <m/>
    <m/>
    <s v="individuel"/>
    <x v="3"/>
    <m/>
    <m/>
    <x v="1"/>
  </r>
  <r>
    <x v="227"/>
    <s v="hors-planning"/>
    <x v="4"/>
    <x v="0"/>
    <x v="10"/>
    <s v="Math"/>
    <s v="non"/>
    <s v="non"/>
    <m/>
    <m/>
    <m/>
    <m/>
    <s v="individuel"/>
    <x v="3"/>
    <m/>
    <m/>
    <x v="1"/>
  </r>
  <r>
    <x v="228"/>
    <s v="hors-planning"/>
    <x v="4"/>
    <x v="0"/>
    <x v="10"/>
    <s v="Math"/>
    <s v="non"/>
    <s v="non"/>
    <m/>
    <m/>
    <m/>
    <m/>
    <s v="individuel"/>
    <x v="3"/>
    <m/>
    <m/>
    <x v="1"/>
  </r>
  <r>
    <x v="229"/>
    <s v="hors-planning"/>
    <x v="4"/>
    <x v="0"/>
    <x v="10"/>
    <s v="Math"/>
    <s v="non"/>
    <s v="non"/>
    <m/>
    <m/>
    <m/>
    <m/>
    <s v="individuel"/>
    <x v="3"/>
    <m/>
    <m/>
    <x v="1"/>
  </r>
  <r>
    <x v="230"/>
    <s v="hors-planning"/>
    <x v="4"/>
    <x v="0"/>
    <x v="10"/>
    <s v="Math"/>
    <s v="non"/>
    <s v="non"/>
    <m/>
    <m/>
    <m/>
    <m/>
    <s v="individuel"/>
    <x v="3"/>
    <m/>
    <m/>
    <x v="1"/>
  </r>
  <r>
    <x v="231"/>
    <s v="hors-planning"/>
    <x v="4"/>
    <x v="0"/>
    <x v="10"/>
    <s v="Math"/>
    <s v="non"/>
    <s v="non"/>
    <m/>
    <m/>
    <m/>
    <m/>
    <s v="individuel"/>
    <x v="3"/>
    <m/>
    <m/>
    <x v="1"/>
  </r>
  <r>
    <x v="232"/>
    <s v="hors-planning"/>
    <x v="4"/>
    <x v="0"/>
    <x v="10"/>
    <s v="Math"/>
    <s v="non"/>
    <s v="non"/>
    <m/>
    <m/>
    <m/>
    <m/>
    <s v="individuel"/>
    <x v="3"/>
    <m/>
    <m/>
    <x v="1"/>
  </r>
  <r>
    <x v="233"/>
    <s v="hors-planning"/>
    <x v="4"/>
    <x v="0"/>
    <x v="10"/>
    <s v="Math"/>
    <s v="non"/>
    <s v="non"/>
    <m/>
    <m/>
    <m/>
    <m/>
    <s v="individuel"/>
    <x v="3"/>
    <m/>
    <m/>
    <x v="1"/>
  </r>
  <r>
    <x v="234"/>
    <s v="hors-planning"/>
    <x v="4"/>
    <x v="0"/>
    <x v="10"/>
    <s v="Math"/>
    <s v="non"/>
    <s v="non"/>
    <m/>
    <m/>
    <m/>
    <m/>
    <s v="individuel"/>
    <x v="3"/>
    <m/>
    <m/>
    <x v="1"/>
  </r>
  <r>
    <x v="235"/>
    <s v="hors-planning"/>
    <x v="4"/>
    <x v="0"/>
    <x v="10"/>
    <s v="Math"/>
    <s v="non"/>
    <s v="non"/>
    <m/>
    <m/>
    <m/>
    <m/>
    <s v="individuel"/>
    <x v="3"/>
    <m/>
    <m/>
    <x v="1"/>
  </r>
  <r>
    <x v="236"/>
    <s v="hors-planning"/>
    <x v="4"/>
    <x v="0"/>
    <x v="10"/>
    <s v="Math"/>
    <s v="non"/>
    <s v="non"/>
    <m/>
    <m/>
    <m/>
    <m/>
    <s v="individuel"/>
    <x v="3"/>
    <m/>
    <m/>
    <x v="1"/>
  </r>
  <r>
    <x v="237"/>
    <s v="hors-planning"/>
    <x v="4"/>
    <x v="0"/>
    <x v="10"/>
    <s v="Math"/>
    <s v="non"/>
    <s v="non"/>
    <m/>
    <m/>
    <m/>
    <m/>
    <s v="individuel"/>
    <x v="3"/>
    <m/>
    <m/>
    <x v="1"/>
  </r>
  <r>
    <x v="238"/>
    <s v="hors-planning"/>
    <x v="4"/>
    <x v="0"/>
    <x v="10"/>
    <s v="Math"/>
    <s v="non"/>
    <s v="non"/>
    <m/>
    <m/>
    <m/>
    <m/>
    <s v="individuel"/>
    <x v="3"/>
    <m/>
    <m/>
    <x v="1"/>
  </r>
  <r>
    <x v="239"/>
    <s v="planning"/>
    <x v="4"/>
    <x v="2"/>
    <x v="10"/>
    <s v="Math"/>
    <s v="non"/>
    <s v="non"/>
    <m/>
    <m/>
    <m/>
    <m/>
    <s v="individuel"/>
    <x v="3"/>
    <m/>
    <m/>
    <x v="1"/>
  </r>
  <r>
    <x v="240"/>
    <s v="hors-planning"/>
    <x v="4"/>
    <x v="0"/>
    <x v="10"/>
    <s v="Math"/>
    <s v="non"/>
    <s v="non"/>
    <m/>
    <m/>
    <m/>
    <m/>
    <s v="individuel"/>
    <x v="3"/>
    <m/>
    <m/>
    <x v="1"/>
  </r>
  <r>
    <x v="241"/>
    <s v="hors-planning"/>
    <x v="4"/>
    <x v="0"/>
    <x v="10"/>
    <s v="Math"/>
    <s v="non"/>
    <s v="non"/>
    <m/>
    <m/>
    <m/>
    <m/>
    <s v="individuel"/>
    <x v="3"/>
    <m/>
    <m/>
    <x v="1"/>
  </r>
  <r>
    <x v="242"/>
    <s v="hors-planning"/>
    <x v="4"/>
    <x v="0"/>
    <x v="10"/>
    <s v="Math"/>
    <s v="non"/>
    <s v="non"/>
    <m/>
    <m/>
    <m/>
    <m/>
    <s v="individuel"/>
    <x v="3"/>
    <m/>
    <m/>
    <x v="1"/>
  </r>
  <r>
    <x v="243"/>
    <s v="hors-planning"/>
    <x v="4"/>
    <x v="0"/>
    <x v="10"/>
    <s v="Math"/>
    <s v="non"/>
    <s v="non"/>
    <m/>
    <m/>
    <m/>
    <m/>
    <s v="individuel"/>
    <x v="3"/>
    <m/>
    <m/>
    <x v="1"/>
  </r>
  <r>
    <x v="244"/>
    <s v="hors-planning"/>
    <x v="4"/>
    <x v="0"/>
    <x v="10"/>
    <s v="Math"/>
    <s v="non"/>
    <s v="non"/>
    <m/>
    <m/>
    <m/>
    <m/>
    <s v="individuel"/>
    <x v="3"/>
    <m/>
    <m/>
    <x v="1"/>
  </r>
  <r>
    <x v="245"/>
    <s v="hors-planning"/>
    <x v="4"/>
    <x v="0"/>
    <x v="10"/>
    <s v="Math"/>
    <s v="non"/>
    <s v="non"/>
    <m/>
    <m/>
    <m/>
    <m/>
    <s v="individuel"/>
    <x v="3"/>
    <m/>
    <m/>
    <x v="1"/>
  </r>
  <r>
    <x v="246"/>
    <s v="hors-planning"/>
    <x v="4"/>
    <x v="0"/>
    <x v="10"/>
    <s v="Math"/>
    <s v="non"/>
    <s v="non"/>
    <m/>
    <m/>
    <m/>
    <m/>
    <s v="individuel"/>
    <x v="3"/>
    <m/>
    <m/>
    <x v="1"/>
  </r>
  <r>
    <x v="247"/>
    <s v="hors-planning"/>
    <x v="4"/>
    <x v="0"/>
    <x v="10"/>
    <s v="Math"/>
    <s v="non"/>
    <s v="non"/>
    <m/>
    <m/>
    <m/>
    <m/>
    <s v="individuel"/>
    <x v="3"/>
    <m/>
    <m/>
    <x v="1"/>
  </r>
  <r>
    <x v="248"/>
    <s v="hors-planning"/>
    <x v="4"/>
    <x v="0"/>
    <x v="10"/>
    <s v="Math"/>
    <s v="non"/>
    <s v="non"/>
    <m/>
    <m/>
    <m/>
    <m/>
    <s v="individuel"/>
    <x v="3"/>
    <m/>
    <m/>
    <x v="1"/>
  </r>
  <r>
    <x v="249"/>
    <s v="hors-planning"/>
    <x v="4"/>
    <x v="0"/>
    <x v="10"/>
    <s v="Math"/>
    <s v="non"/>
    <s v="non"/>
    <m/>
    <m/>
    <m/>
    <m/>
    <s v="individuel"/>
    <x v="3"/>
    <m/>
    <m/>
    <x v="1"/>
  </r>
  <r>
    <x v="250"/>
    <s v="hors-planning"/>
    <x v="4"/>
    <x v="0"/>
    <x v="10"/>
    <s v="Math"/>
    <s v="non"/>
    <s v="non"/>
    <m/>
    <m/>
    <m/>
    <m/>
    <s v="individuel"/>
    <x v="3"/>
    <m/>
    <m/>
    <x v="1"/>
  </r>
  <r>
    <x v="251"/>
    <s v="hors-planning"/>
    <x v="4"/>
    <x v="0"/>
    <x v="10"/>
    <s v="Math"/>
    <s v="non"/>
    <s v="non"/>
    <m/>
    <m/>
    <m/>
    <m/>
    <s v="individuel"/>
    <x v="3"/>
    <m/>
    <m/>
    <x v="1"/>
  </r>
  <r>
    <x v="252"/>
    <s v="hors-planning"/>
    <x v="4"/>
    <x v="0"/>
    <x v="10"/>
    <s v="Math"/>
    <s v="non"/>
    <s v="non"/>
    <m/>
    <m/>
    <m/>
    <m/>
    <s v="individuel"/>
    <x v="3"/>
    <m/>
    <m/>
    <x v="1"/>
  </r>
  <r>
    <x v="253"/>
    <s v="hors-planning"/>
    <x v="4"/>
    <x v="0"/>
    <x v="10"/>
    <s v="Math"/>
    <s v="non"/>
    <s v="non"/>
    <m/>
    <m/>
    <m/>
    <m/>
    <s v="individuel"/>
    <x v="3"/>
    <m/>
    <m/>
    <x v="1"/>
  </r>
  <r>
    <x v="254"/>
    <s v="hors-planning"/>
    <x v="4"/>
    <x v="0"/>
    <x v="10"/>
    <s v="Math"/>
    <s v="non"/>
    <s v="non"/>
    <m/>
    <m/>
    <m/>
    <m/>
    <s v="individuel"/>
    <x v="3"/>
    <m/>
    <m/>
    <x v="1"/>
  </r>
  <r>
    <x v="255"/>
    <s v="hors-planning"/>
    <x v="4"/>
    <x v="0"/>
    <x v="10"/>
    <s v="Math"/>
    <s v="non"/>
    <s v="non"/>
    <m/>
    <m/>
    <m/>
    <m/>
    <s v="individuel"/>
    <x v="3"/>
    <m/>
    <m/>
    <x v="1"/>
  </r>
  <r>
    <x v="256"/>
    <s v="hors-planning"/>
    <x v="4"/>
    <x v="0"/>
    <x v="10"/>
    <s v="Math"/>
    <s v="non"/>
    <s v="non"/>
    <m/>
    <m/>
    <m/>
    <m/>
    <s v="individuel"/>
    <x v="3"/>
    <m/>
    <m/>
    <x v="1"/>
  </r>
  <r>
    <x v="257"/>
    <s v="hors-planning"/>
    <x v="4"/>
    <x v="0"/>
    <x v="10"/>
    <s v="Math"/>
    <s v="non"/>
    <s v="non"/>
    <m/>
    <m/>
    <m/>
    <m/>
    <s v="individuel"/>
    <x v="3"/>
    <m/>
    <m/>
    <x v="1"/>
  </r>
  <r>
    <x v="258"/>
    <s v="hors-planning"/>
    <x v="4"/>
    <x v="0"/>
    <x v="10"/>
    <s v="Math"/>
    <s v="non"/>
    <s v="non"/>
    <m/>
    <m/>
    <m/>
    <m/>
    <s v="individuel"/>
    <x v="3"/>
    <m/>
    <m/>
    <x v="1"/>
  </r>
  <r>
    <x v="259"/>
    <s v="hors-planning"/>
    <x v="4"/>
    <x v="0"/>
    <x v="10"/>
    <s v="Math"/>
    <s v="non"/>
    <s v="non"/>
    <m/>
    <m/>
    <m/>
    <m/>
    <s v="individuel"/>
    <x v="3"/>
    <m/>
    <m/>
    <x v="1"/>
  </r>
  <r>
    <x v="260"/>
    <s v="hors-planning"/>
    <x v="4"/>
    <x v="0"/>
    <x v="10"/>
    <s v="Math"/>
    <s v="non"/>
    <s v="non"/>
    <m/>
    <m/>
    <m/>
    <m/>
    <s v="individuel"/>
    <x v="3"/>
    <m/>
    <m/>
    <x v="1"/>
  </r>
  <r>
    <x v="261"/>
    <s v="hors-planning"/>
    <x v="4"/>
    <x v="0"/>
    <x v="10"/>
    <s v="Math"/>
    <s v="non"/>
    <s v="non"/>
    <m/>
    <m/>
    <m/>
    <m/>
    <s v="individuel"/>
    <x v="3"/>
    <m/>
    <m/>
    <x v="1"/>
  </r>
  <r>
    <x v="262"/>
    <s v="hors-planning"/>
    <x v="4"/>
    <x v="0"/>
    <x v="10"/>
    <s v="Math"/>
    <s v="non"/>
    <s v="non"/>
    <m/>
    <m/>
    <m/>
    <m/>
    <s v="individuel"/>
    <x v="3"/>
    <m/>
    <m/>
    <x v="1"/>
  </r>
  <r>
    <x v="263"/>
    <s v="hors-planning"/>
    <x v="4"/>
    <x v="0"/>
    <x v="10"/>
    <s v="Math"/>
    <s v="non"/>
    <s v="non"/>
    <m/>
    <m/>
    <m/>
    <m/>
    <s v="individuel"/>
    <x v="3"/>
    <m/>
    <m/>
    <x v="1"/>
  </r>
  <r>
    <x v="264"/>
    <s v="hors-planning"/>
    <x v="4"/>
    <x v="0"/>
    <x v="10"/>
    <s v="Math"/>
    <s v="non"/>
    <s v="non"/>
    <m/>
    <m/>
    <m/>
    <m/>
    <s v="individuel"/>
    <x v="3"/>
    <m/>
    <m/>
    <x v="1"/>
  </r>
  <r>
    <x v="265"/>
    <s v="hors-planning"/>
    <x v="4"/>
    <x v="0"/>
    <x v="10"/>
    <s v="Math"/>
    <s v="non"/>
    <s v="non"/>
    <m/>
    <m/>
    <m/>
    <m/>
    <s v="individuel"/>
    <x v="3"/>
    <m/>
    <m/>
    <x v="1"/>
  </r>
  <r>
    <x v="266"/>
    <s v="hors-planning"/>
    <x v="4"/>
    <x v="0"/>
    <x v="10"/>
    <s v="Math"/>
    <s v="non"/>
    <s v="non"/>
    <m/>
    <m/>
    <m/>
    <m/>
    <s v="individuel"/>
    <x v="3"/>
    <m/>
    <m/>
    <x v="1"/>
  </r>
  <r>
    <x v="267"/>
    <s v="hors-planning"/>
    <x v="4"/>
    <x v="0"/>
    <x v="10"/>
    <s v="Math"/>
    <s v="non"/>
    <s v="non"/>
    <m/>
    <m/>
    <m/>
    <m/>
    <s v="individuel"/>
    <x v="3"/>
    <m/>
    <m/>
    <x v="1"/>
  </r>
  <r>
    <x v="268"/>
    <s v="hors-planning"/>
    <x v="4"/>
    <x v="0"/>
    <x v="10"/>
    <s v="Math"/>
    <s v="non"/>
    <s v="non"/>
    <m/>
    <m/>
    <m/>
    <m/>
    <s v="collectif"/>
    <x v="5"/>
    <m/>
    <m/>
    <x v="1"/>
  </r>
  <r>
    <x v="269"/>
    <s v="hors-planning"/>
    <x v="6"/>
    <x v="1"/>
    <x v="19"/>
    <m/>
    <s v="non"/>
    <s v="non"/>
    <m/>
    <m/>
    <m/>
    <m/>
    <s v="mixte"/>
    <x v="2"/>
    <m/>
    <m/>
    <x v="1"/>
  </r>
  <r>
    <x v="270"/>
    <s v="planning"/>
    <x v="6"/>
    <x v="0"/>
    <x v="19"/>
    <m/>
    <s v="oui"/>
    <s v="non"/>
    <m/>
    <m/>
    <m/>
    <m/>
    <s v="mixte"/>
    <x v="0"/>
    <m/>
    <m/>
    <x v="1"/>
  </r>
  <r>
    <x v="271"/>
    <s v="planning"/>
    <x v="6"/>
    <x v="0"/>
    <x v="19"/>
    <m/>
    <s v="oui"/>
    <s v="non"/>
    <m/>
    <m/>
    <m/>
    <m/>
    <s v="mixte"/>
    <x v="3"/>
    <m/>
    <m/>
    <x v="1"/>
  </r>
  <r>
    <x v="272"/>
    <s v="planning"/>
    <x v="6"/>
    <x v="0"/>
    <x v="19"/>
    <m/>
    <s v="oui"/>
    <s v="non"/>
    <m/>
    <m/>
    <m/>
    <m/>
    <s v="mixte"/>
    <x v="0"/>
    <m/>
    <m/>
    <x v="1"/>
  </r>
  <r>
    <x v="273"/>
    <s v="planning"/>
    <x v="6"/>
    <x v="0"/>
    <x v="19"/>
    <m/>
    <s v="oui"/>
    <s v="non"/>
    <m/>
    <m/>
    <m/>
    <m/>
    <s v="mixte"/>
    <x v="0"/>
    <m/>
    <m/>
    <x v="1"/>
  </r>
  <r>
    <x v="274"/>
    <s v="planning"/>
    <x v="6"/>
    <x v="0"/>
    <x v="19"/>
    <m/>
    <s v="oui"/>
    <s v="non"/>
    <m/>
    <m/>
    <m/>
    <m/>
    <s v="mixte"/>
    <x v="0"/>
    <m/>
    <m/>
    <x v="1"/>
  </r>
  <r>
    <x v="275"/>
    <s v="planning"/>
    <x v="6"/>
    <x v="0"/>
    <x v="19"/>
    <m/>
    <s v="oui"/>
    <s v="non"/>
    <m/>
    <m/>
    <m/>
    <m/>
    <s v="mixte"/>
    <x v="0"/>
    <m/>
    <m/>
    <x v="1"/>
  </r>
  <r>
    <x v="276"/>
    <s v="planning"/>
    <x v="6"/>
    <x v="0"/>
    <x v="19"/>
    <m/>
    <s v="oui"/>
    <s v="non"/>
    <m/>
    <m/>
    <m/>
    <m/>
    <s v="mixte"/>
    <x v="0"/>
    <m/>
    <m/>
    <x v="1"/>
  </r>
  <r>
    <x v="277"/>
    <s v="planning"/>
    <x v="6"/>
    <x v="0"/>
    <x v="19"/>
    <m/>
    <s v="oui"/>
    <s v="non"/>
    <m/>
    <m/>
    <m/>
    <m/>
    <s v="mixte"/>
    <x v="2"/>
    <m/>
    <m/>
    <x v="1"/>
  </r>
  <r>
    <x v="278"/>
    <s v="planning"/>
    <x v="6"/>
    <x v="0"/>
    <x v="19"/>
    <m/>
    <s v="oui"/>
    <s v="non"/>
    <m/>
    <m/>
    <m/>
    <m/>
    <s v="mixte"/>
    <x v="0"/>
    <m/>
    <m/>
    <x v="1"/>
  </r>
  <r>
    <x v="279"/>
    <s v="planning"/>
    <x v="6"/>
    <x v="0"/>
    <x v="19"/>
    <m/>
    <s v="oui"/>
    <s v="non"/>
    <m/>
    <m/>
    <m/>
    <m/>
    <s v="mixte"/>
    <x v="3"/>
    <m/>
    <m/>
    <x v="1"/>
  </r>
  <r>
    <x v="280"/>
    <s v="planning"/>
    <x v="6"/>
    <x v="0"/>
    <x v="19"/>
    <m/>
    <s v="oui"/>
    <s v="non"/>
    <m/>
    <m/>
    <m/>
    <m/>
    <s v="individuel"/>
    <x v="3"/>
    <m/>
    <m/>
    <x v="1"/>
  </r>
  <r>
    <x v="281"/>
    <s v="planning"/>
    <x v="6"/>
    <x v="0"/>
    <x v="19"/>
    <m/>
    <s v="oui"/>
    <s v="non"/>
    <m/>
    <m/>
    <m/>
    <m/>
    <s v="individuel"/>
    <x v="3"/>
    <m/>
    <m/>
    <x v="1"/>
  </r>
  <r>
    <x v="282"/>
    <s v="planning"/>
    <x v="6"/>
    <x v="0"/>
    <x v="19"/>
    <m/>
    <s v="oui"/>
    <s v="non"/>
    <m/>
    <m/>
    <m/>
    <m/>
    <s v="individuel"/>
    <x v="3"/>
    <m/>
    <m/>
    <x v="1"/>
  </r>
  <r>
    <x v="283"/>
    <s v="planning"/>
    <x v="6"/>
    <x v="0"/>
    <x v="19"/>
    <m/>
    <s v="oui"/>
    <s v="non"/>
    <m/>
    <m/>
    <m/>
    <m/>
    <s v="individuel"/>
    <x v="3"/>
    <m/>
    <m/>
    <x v="1"/>
  </r>
  <r>
    <x v="284"/>
    <s v="planning"/>
    <x v="6"/>
    <x v="0"/>
    <x v="19"/>
    <m/>
    <s v="oui"/>
    <s v="non"/>
    <m/>
    <m/>
    <m/>
    <m/>
    <s v="individuel"/>
    <x v="3"/>
    <m/>
    <m/>
    <x v="1"/>
  </r>
  <r>
    <x v="285"/>
    <s v="planning"/>
    <x v="6"/>
    <x v="0"/>
    <x v="19"/>
    <m/>
    <s v="oui"/>
    <s v="non"/>
    <m/>
    <m/>
    <m/>
    <m/>
    <s v="individuel"/>
    <x v="3"/>
    <m/>
    <m/>
    <x v="1"/>
  </r>
  <r>
    <x v="286"/>
    <s v="planning"/>
    <x v="6"/>
    <x v="0"/>
    <x v="19"/>
    <m/>
    <s v="oui"/>
    <s v="non"/>
    <m/>
    <m/>
    <m/>
    <m/>
    <s v="individuel"/>
    <x v="3"/>
    <m/>
    <m/>
    <x v="1"/>
  </r>
  <r>
    <x v="287"/>
    <s v="planning"/>
    <x v="6"/>
    <x v="0"/>
    <x v="19"/>
    <m/>
    <s v="oui"/>
    <s v="non"/>
    <m/>
    <m/>
    <m/>
    <m/>
    <s v="individuel"/>
    <x v="0"/>
    <m/>
    <m/>
    <x v="1"/>
  </r>
  <r>
    <x v="288"/>
    <s v="hors-planning"/>
    <x v="6"/>
    <x v="0"/>
    <x v="16"/>
    <m/>
    <s v="non"/>
    <s v="non"/>
    <m/>
    <m/>
    <m/>
    <m/>
    <s v="sous-groupe"/>
    <x v="3"/>
    <m/>
    <m/>
    <x v="1"/>
  </r>
  <r>
    <x v="289"/>
    <s v="planning"/>
    <x v="6"/>
    <x v="0"/>
    <x v="20"/>
    <s v="Dev Web"/>
    <s v="oui"/>
    <s v="non"/>
    <m/>
    <m/>
    <m/>
    <m/>
    <s v="mixte"/>
    <x v="3"/>
    <m/>
    <m/>
    <x v="1"/>
  </r>
  <r>
    <x v="290"/>
    <s v="planning"/>
    <x v="6"/>
    <x v="0"/>
    <x v="20"/>
    <s v="Dev Web"/>
    <s v="oui"/>
    <s v="non"/>
    <m/>
    <m/>
    <m/>
    <m/>
    <s v="mixte"/>
    <x v="3"/>
    <m/>
    <m/>
    <x v="1"/>
  </r>
  <r>
    <x v="291"/>
    <s v="planning"/>
    <x v="6"/>
    <x v="0"/>
    <x v="20"/>
    <s v="Dev Web"/>
    <s v="oui"/>
    <s v="non"/>
    <m/>
    <m/>
    <m/>
    <m/>
    <s v="mixte"/>
    <x v="3"/>
    <m/>
    <m/>
    <x v="1"/>
  </r>
  <r>
    <x v="292"/>
    <s v="planning"/>
    <x v="6"/>
    <x v="0"/>
    <x v="20"/>
    <s v="Dev Web"/>
    <s v="oui"/>
    <s v="non"/>
    <m/>
    <m/>
    <m/>
    <m/>
    <s v="mixte"/>
    <x v="3"/>
    <m/>
    <m/>
    <x v="1"/>
  </r>
  <r>
    <x v="293"/>
    <s v="planning"/>
    <x v="6"/>
    <x v="0"/>
    <x v="20"/>
    <s v="Dev Web"/>
    <s v="oui"/>
    <s v="non"/>
    <m/>
    <m/>
    <m/>
    <m/>
    <s v="mixte"/>
    <x v="3"/>
    <m/>
    <m/>
    <x v="1"/>
  </r>
  <r>
    <x v="294"/>
    <s v="planning"/>
    <x v="6"/>
    <x v="0"/>
    <x v="20"/>
    <s v="Média"/>
    <s v="non"/>
    <s v="non"/>
    <m/>
    <m/>
    <m/>
    <m/>
    <s v="mixte"/>
    <x v="3"/>
    <m/>
    <m/>
    <x v="1"/>
  </r>
  <r>
    <x v="295"/>
    <s v="planning"/>
    <x v="6"/>
    <x v="0"/>
    <x v="20"/>
    <s v="Média"/>
    <s v="non"/>
    <s v="non"/>
    <m/>
    <m/>
    <m/>
    <m/>
    <s v="mixte"/>
    <x v="3"/>
    <m/>
    <m/>
    <x v="1"/>
  </r>
  <r>
    <x v="296"/>
    <s v="planning"/>
    <x v="6"/>
    <x v="0"/>
    <x v="20"/>
    <s v="Réseau - Cyber"/>
    <s v="oui"/>
    <s v="non"/>
    <m/>
    <m/>
    <m/>
    <m/>
    <s v="mixte"/>
    <x v="3"/>
    <m/>
    <m/>
    <x v="1"/>
  </r>
  <r>
    <x v="297"/>
    <s v="planning"/>
    <x v="6"/>
    <x v="0"/>
    <x v="20"/>
    <s v="Réseau - Cyber"/>
    <s v="non"/>
    <s v="non"/>
    <m/>
    <m/>
    <m/>
    <m/>
    <s v="mixte"/>
    <x v="3"/>
    <m/>
    <m/>
    <x v="1"/>
  </r>
  <r>
    <x v="298"/>
    <s v="planning"/>
    <x v="6"/>
    <x v="0"/>
    <x v="20"/>
    <m/>
    <s v="non"/>
    <s v="non"/>
    <m/>
    <m/>
    <m/>
    <m/>
    <s v="mixte"/>
    <x v="3"/>
    <m/>
    <m/>
    <x v="1"/>
  </r>
  <r>
    <x v="299"/>
    <s v="planning"/>
    <x v="6"/>
    <x v="0"/>
    <x v="20"/>
    <m/>
    <s v="oui"/>
    <s v="non"/>
    <m/>
    <m/>
    <m/>
    <m/>
    <s v="mixte"/>
    <x v="3"/>
    <m/>
    <m/>
    <x v="1"/>
  </r>
  <r>
    <x v="300"/>
    <s v="planning"/>
    <x v="6"/>
    <x v="0"/>
    <x v="21"/>
    <m/>
    <s v="oui"/>
    <s v="non"/>
    <m/>
    <m/>
    <m/>
    <m/>
    <s v="collectif"/>
    <x v="3"/>
    <m/>
    <m/>
    <x v="1"/>
  </r>
  <r>
    <x v="301"/>
    <s v="hors-planning"/>
    <x v="6"/>
    <x v="1"/>
    <x v="22"/>
    <m/>
    <s v="oui"/>
    <s v="non"/>
    <m/>
    <m/>
    <m/>
    <m/>
    <s v="individuel"/>
    <x v="3"/>
    <m/>
    <m/>
    <x v="1"/>
  </r>
  <r>
    <x v="302"/>
    <s v="planning"/>
    <x v="6"/>
    <x v="1"/>
    <x v="22"/>
    <m/>
    <s v="oui"/>
    <s v="non"/>
    <m/>
    <m/>
    <m/>
    <m/>
    <s v="mixte"/>
    <x v="0"/>
    <m/>
    <m/>
    <x v="1"/>
  </r>
  <r>
    <x v="303"/>
    <s v="planning"/>
    <x v="6"/>
    <x v="1"/>
    <x v="22"/>
    <m/>
    <s v="oui"/>
    <s v="non"/>
    <m/>
    <m/>
    <m/>
    <m/>
    <s v="mixte"/>
    <x v="0"/>
    <m/>
    <m/>
    <x v="1"/>
  </r>
  <r>
    <x v="304"/>
    <s v="planning"/>
    <x v="6"/>
    <x v="1"/>
    <x v="22"/>
    <m/>
    <s v="oui"/>
    <s v="non"/>
    <m/>
    <m/>
    <m/>
    <m/>
    <s v="mixte"/>
    <x v="0"/>
    <m/>
    <m/>
    <x v="1"/>
  </r>
  <r>
    <x v="305"/>
    <s v="planning"/>
    <x v="6"/>
    <x v="1"/>
    <x v="22"/>
    <m/>
    <s v="oui"/>
    <s v="non"/>
    <m/>
    <m/>
    <m/>
    <m/>
    <s v="mixte"/>
    <x v="3"/>
    <m/>
    <m/>
    <x v="1"/>
  </r>
  <r>
    <x v="306"/>
    <s v="planning"/>
    <x v="6"/>
    <x v="1"/>
    <x v="22"/>
    <m/>
    <s v="oui"/>
    <s v="non"/>
    <m/>
    <m/>
    <m/>
    <m/>
    <s v="mixte"/>
    <x v="0"/>
    <m/>
    <m/>
    <x v="1"/>
  </r>
  <r>
    <x v="307"/>
    <s v="planning"/>
    <x v="6"/>
    <x v="1"/>
    <x v="22"/>
    <m/>
    <s v="oui"/>
    <s v="non"/>
    <m/>
    <m/>
    <m/>
    <m/>
    <s v="mixte"/>
    <x v="3"/>
    <m/>
    <m/>
    <x v="1"/>
  </r>
  <r>
    <x v="308"/>
    <s v="planning"/>
    <x v="6"/>
    <x v="1"/>
    <x v="22"/>
    <m/>
    <s v="oui"/>
    <s v="non"/>
    <m/>
    <m/>
    <m/>
    <m/>
    <s v="mixte"/>
    <x v="0"/>
    <m/>
    <m/>
    <x v="1"/>
  </r>
  <r>
    <x v="309"/>
    <s v="hors-planning"/>
    <x v="6"/>
    <x v="1"/>
    <x v="22"/>
    <m/>
    <s v="oui"/>
    <s v="non"/>
    <m/>
    <m/>
    <m/>
    <m/>
    <s v="individuel"/>
    <x v="2"/>
    <m/>
    <m/>
    <x v="1"/>
  </r>
  <r>
    <x v="310"/>
    <s v="planning"/>
    <x v="6"/>
    <x v="1"/>
    <x v="23"/>
    <m/>
    <s v="oui"/>
    <s v="non"/>
    <m/>
    <m/>
    <m/>
    <m/>
    <s v="mixte"/>
    <x v="0"/>
    <m/>
    <m/>
    <x v="1"/>
  </r>
  <r>
    <x v="311"/>
    <s v="planning"/>
    <x v="6"/>
    <x v="1"/>
    <x v="23"/>
    <m/>
    <s v="oui"/>
    <s v="non"/>
    <m/>
    <m/>
    <m/>
    <m/>
    <s v="mixte"/>
    <x v="0"/>
    <m/>
    <m/>
    <x v="1"/>
  </r>
  <r>
    <x v="312"/>
    <s v="planning"/>
    <x v="6"/>
    <x v="1"/>
    <x v="23"/>
    <m/>
    <s v="oui"/>
    <s v="non"/>
    <m/>
    <m/>
    <m/>
    <m/>
    <s v="mixte"/>
    <x v="0"/>
    <m/>
    <m/>
    <x v="1"/>
  </r>
  <r>
    <x v="313"/>
    <s v="planning"/>
    <x v="6"/>
    <x v="1"/>
    <x v="23"/>
    <m/>
    <s v="oui"/>
    <s v="non"/>
    <m/>
    <m/>
    <m/>
    <m/>
    <s v="mixte"/>
    <x v="3"/>
    <m/>
    <m/>
    <x v="1"/>
  </r>
  <r>
    <x v="300"/>
    <s v="planning"/>
    <x v="6"/>
    <x v="1"/>
    <x v="23"/>
    <m/>
    <s v="oui"/>
    <s v="non"/>
    <m/>
    <m/>
    <m/>
    <m/>
    <s v="mixte"/>
    <x v="3"/>
    <m/>
    <m/>
    <x v="1"/>
  </r>
  <r>
    <x v="314"/>
    <s v="planning"/>
    <x v="6"/>
    <x v="1"/>
    <x v="23"/>
    <m/>
    <s v="oui"/>
    <s v="non"/>
    <m/>
    <m/>
    <m/>
    <m/>
    <s v="mixte"/>
    <x v="3"/>
    <m/>
    <m/>
    <x v="1"/>
  </r>
  <r>
    <x v="315"/>
    <s v="planning"/>
    <x v="6"/>
    <x v="1"/>
    <x v="23"/>
    <m/>
    <s v="oui"/>
    <s v="non"/>
    <m/>
    <m/>
    <m/>
    <m/>
    <s v="mixte"/>
    <x v="3"/>
    <m/>
    <m/>
    <x v="1"/>
  </r>
  <r>
    <x v="316"/>
    <s v="planning"/>
    <x v="6"/>
    <x v="1"/>
    <x v="23"/>
    <m/>
    <s v="oui"/>
    <s v="non"/>
    <m/>
    <m/>
    <m/>
    <m/>
    <s v="mixte"/>
    <x v="3"/>
    <m/>
    <m/>
    <x v="1"/>
  </r>
  <r>
    <x v="317"/>
    <s v="planning"/>
    <x v="6"/>
    <x v="1"/>
    <x v="23"/>
    <m/>
    <s v="oui"/>
    <s v="non"/>
    <m/>
    <m/>
    <m/>
    <m/>
    <s v="mixte"/>
    <x v="3"/>
    <m/>
    <m/>
    <x v="1"/>
  </r>
  <r>
    <x v="318"/>
    <s v="planning"/>
    <x v="6"/>
    <x v="1"/>
    <x v="23"/>
    <m/>
    <s v="oui"/>
    <s v="non"/>
    <m/>
    <m/>
    <m/>
    <m/>
    <s v="mixte"/>
    <x v="3"/>
    <m/>
    <m/>
    <x v="1"/>
  </r>
  <r>
    <x v="319"/>
    <s v="planning"/>
    <x v="6"/>
    <x v="1"/>
    <x v="23"/>
    <m/>
    <s v="oui"/>
    <s v="non"/>
    <m/>
    <m/>
    <m/>
    <m/>
    <s v="mixte"/>
    <x v="3"/>
    <m/>
    <m/>
    <x v="1"/>
  </r>
  <r>
    <x v="320"/>
    <s v="planning"/>
    <x v="6"/>
    <x v="1"/>
    <x v="23"/>
    <m/>
    <s v="oui"/>
    <s v="non"/>
    <m/>
    <m/>
    <m/>
    <m/>
    <s v="mixte"/>
    <x v="3"/>
    <m/>
    <m/>
    <x v="1"/>
  </r>
  <r>
    <x v="321"/>
    <s v="planning"/>
    <x v="6"/>
    <x v="1"/>
    <x v="23"/>
    <m/>
    <s v="oui"/>
    <s v="non"/>
    <m/>
    <m/>
    <m/>
    <m/>
    <s v="mixte"/>
    <x v="3"/>
    <m/>
    <m/>
    <x v="1"/>
  </r>
  <r>
    <x v="322"/>
    <s v="planning"/>
    <x v="6"/>
    <x v="1"/>
    <x v="23"/>
    <m/>
    <s v="oui"/>
    <s v="non"/>
    <m/>
    <m/>
    <m/>
    <m/>
    <s v="mixte"/>
    <x v="3"/>
    <m/>
    <m/>
    <x v="1"/>
  </r>
  <r>
    <x v="323"/>
    <s v="planning"/>
    <x v="6"/>
    <x v="1"/>
    <x v="23"/>
    <m/>
    <s v="oui"/>
    <s v="non"/>
    <m/>
    <m/>
    <m/>
    <m/>
    <s v="mixte"/>
    <x v="5"/>
    <m/>
    <m/>
    <x v="1"/>
  </r>
  <r>
    <x v="324"/>
    <s v="planning"/>
    <x v="4"/>
    <x v="1"/>
    <x v="10"/>
    <m/>
    <s v="non"/>
    <s v="non"/>
    <m/>
    <m/>
    <m/>
    <m/>
    <s v="individuel"/>
    <x v="1"/>
    <m/>
    <m/>
    <x v="1"/>
  </r>
  <r>
    <x v="325"/>
    <s v="planning"/>
    <x v="4"/>
    <x v="1"/>
    <x v="10"/>
    <m/>
    <s v="non"/>
    <s v="non"/>
    <m/>
    <m/>
    <m/>
    <m/>
    <s v="individuel"/>
    <x v="1"/>
    <m/>
    <m/>
    <x v="1"/>
  </r>
  <r>
    <x v="326"/>
    <s v="planning"/>
    <x v="5"/>
    <x v="1"/>
    <x v="15"/>
    <m/>
    <s v="oui"/>
    <s v="non"/>
    <m/>
    <m/>
    <m/>
    <m/>
    <s v="mixte"/>
    <x v="1"/>
    <m/>
    <m/>
    <x v="1"/>
  </r>
  <r>
    <x v="327"/>
    <s v="planning"/>
    <x v="5"/>
    <x v="1"/>
    <x v="15"/>
    <m/>
    <s v="oui"/>
    <s v="non"/>
    <m/>
    <m/>
    <m/>
    <m/>
    <s v="mixte"/>
    <x v="1"/>
    <m/>
    <m/>
    <x v="1"/>
  </r>
  <r>
    <x v="328"/>
    <s v="hors-planning"/>
    <x v="5"/>
    <x v="1"/>
    <x v="15"/>
    <m/>
    <s v="oui"/>
    <s v="non"/>
    <m/>
    <m/>
    <m/>
    <m/>
    <s v="individuel"/>
    <x v="1"/>
    <m/>
    <m/>
    <x v="1"/>
  </r>
  <r>
    <x v="329"/>
    <s v="planning"/>
    <x v="4"/>
    <x v="1"/>
    <x v="10"/>
    <m/>
    <s v="non"/>
    <s v="non"/>
    <m/>
    <m/>
    <m/>
    <m/>
    <s v="mixte"/>
    <x v="3"/>
    <m/>
    <m/>
    <x v="1"/>
  </r>
  <r>
    <x v="32"/>
    <s v="planning"/>
    <x v="5"/>
    <x v="0"/>
    <x v="15"/>
    <m/>
    <s v="oui"/>
    <s v="non"/>
    <m/>
    <m/>
    <m/>
    <m/>
    <s v="collectif"/>
    <x v="1"/>
    <m/>
    <m/>
    <x v="1"/>
  </r>
  <r>
    <x v="330"/>
    <s v="planning"/>
    <x v="2"/>
    <x v="0"/>
    <x v="12"/>
    <m/>
    <s v="non"/>
    <s v="non"/>
    <m/>
    <m/>
    <m/>
    <m/>
    <s v="mixte"/>
    <x v="0"/>
    <m/>
    <m/>
    <x v="1"/>
  </r>
  <r>
    <x v="331"/>
    <s v="hors-planning"/>
    <x v="2"/>
    <x v="0"/>
    <x v="12"/>
    <m/>
    <s v="non"/>
    <s v="non"/>
    <m/>
    <m/>
    <m/>
    <m/>
    <s v="mixte"/>
    <x v="0"/>
    <m/>
    <m/>
    <x v="1"/>
  </r>
  <r>
    <x v="332"/>
    <s v="hors-planning"/>
    <x v="2"/>
    <x v="1"/>
    <x v="12"/>
    <m/>
    <s v="non"/>
    <s v="non"/>
    <m/>
    <m/>
    <m/>
    <m/>
    <s v="collectif"/>
    <x v="0"/>
    <m/>
    <m/>
    <x v="1"/>
  </r>
  <r>
    <x v="333"/>
    <s v="hors-planning"/>
    <x v="4"/>
    <x v="1"/>
    <x v="10"/>
    <m/>
    <s v="non"/>
    <s v="non"/>
    <m/>
    <m/>
    <m/>
    <m/>
    <s v="mixte"/>
    <x v="3"/>
    <m/>
    <m/>
    <x v="1"/>
  </r>
  <r>
    <x v="334"/>
    <s v="planning"/>
    <x v="1"/>
    <x v="0"/>
    <x v="13"/>
    <m/>
    <s v="non"/>
    <s v="non"/>
    <m/>
    <m/>
    <m/>
    <m/>
    <s v="mixte"/>
    <x v="2"/>
    <m/>
    <m/>
    <x v="1"/>
  </r>
  <r>
    <x v="335"/>
    <s v="hors-planning"/>
    <x v="4"/>
    <x v="0"/>
    <x v="10"/>
    <s v="Français"/>
    <s v="non"/>
    <s v="non"/>
    <m/>
    <n v="1"/>
    <s v="non"/>
    <s v="Tableau"/>
    <s v="collectif"/>
    <x v="3"/>
    <s v="LES SYRTES.docx"/>
    <m/>
    <x v="1"/>
  </r>
  <r>
    <x v="336"/>
    <s v="hors-planning"/>
    <x v="4"/>
    <x v="0"/>
    <x v="10"/>
    <s v="Informatique"/>
    <s v="non"/>
    <s v="non"/>
    <m/>
    <n v="1"/>
    <s v="oui"/>
    <s v="Excel / Tableur"/>
    <s v="individuel"/>
    <x v="3"/>
    <s v="Ma Machine de Gérard v2"/>
    <m/>
    <x v="1"/>
  </r>
  <r>
    <x v="337"/>
    <s v="hors-planning"/>
    <x v="4"/>
    <x v="0"/>
    <x v="10"/>
    <s v="Informatique"/>
    <s v="non"/>
    <s v="non"/>
    <m/>
    <n v="1"/>
    <s v="oui"/>
    <s v="Excel / Tableur"/>
    <s v="individuel"/>
    <x v="3"/>
    <s v="modeles_factures pour pas à pas excel.xlsx"/>
    <m/>
    <x v="1"/>
  </r>
  <r>
    <x v="338"/>
    <s v="hors-planning"/>
    <x v="4"/>
    <x v="0"/>
    <x v="24"/>
    <s v="TRONC COMMUN"/>
    <s v="non"/>
    <s v="oui"/>
    <s v="oui"/>
    <n v="1"/>
    <s v="oui"/>
    <m/>
    <s v="mixte"/>
    <x v="3"/>
    <s v="Ecrire sur l'eau"/>
    <s v="oui"/>
    <x v="0"/>
  </r>
  <r>
    <x v="98"/>
    <s v="planning"/>
    <x v="7"/>
    <x v="2"/>
    <x v="25"/>
    <s v="INTEGRATION"/>
    <s v="oui"/>
    <s v="oui"/>
    <s v="oui"/>
    <n v="1"/>
    <s v="oui"/>
    <m/>
    <s v="mixte"/>
    <x v="5"/>
    <s v="sans"/>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E83799-ED8D-4D4C-9881-68E2EB3D770F}" name="Tableau croisé dynamique1" cacheId="55" applyNumberFormats="0" applyBorderFormats="0" applyFontFormats="0" applyPatternFormats="0" applyAlignmentFormats="0" applyWidthHeightFormats="1" dataCaption="Valeurs" updatedVersion="8" minRefreshableVersion="3" useAutoFormatting="1" itemPrintTitles="1" createdVersion="8" indent="0" compact="0" compactData="0" multipleFieldFilters="0">
  <location ref="A3:E346" firstHeaderRow="1" firstDataRow="1" firstDataCol="4"/>
  <pivotFields count="17">
    <pivotField axis="axisRow" compact="0" outline="0" showAll="0" defaultSubtotal="0">
      <items count="339">
        <item x="313"/>
        <item x="62"/>
        <item x="141"/>
        <item x="140"/>
        <item x="318"/>
        <item x="16"/>
        <item x="300"/>
        <item x="46"/>
        <item x="106"/>
        <item x="43"/>
        <item x="154"/>
        <item x="111"/>
        <item x="238"/>
        <item x="206"/>
        <item x="209"/>
        <item x="208"/>
        <item x="230"/>
        <item x="229"/>
        <item x="236"/>
        <item x="314"/>
        <item x="63"/>
        <item x="305"/>
        <item x="265"/>
        <item x="264"/>
        <item x="202"/>
        <item x="296"/>
        <item x="298"/>
        <item x="113"/>
        <item x="72"/>
        <item x="329"/>
        <item x="15"/>
        <item x="324"/>
        <item x="325"/>
        <item x="333"/>
        <item x="64"/>
        <item x="48"/>
        <item x="309"/>
        <item x="95"/>
        <item x="310"/>
        <item x="34"/>
        <item x="316"/>
        <item x="248"/>
        <item x="242"/>
        <item x="315"/>
        <item x="92"/>
        <item x="204"/>
        <item x="260"/>
        <item x="241"/>
        <item x="200"/>
        <item x="334"/>
        <item x="249"/>
        <item x="250"/>
        <item x="317"/>
        <item x="153"/>
        <item x="151"/>
        <item x="152"/>
        <item x="139"/>
        <item x="138"/>
        <item x="233"/>
        <item x="234"/>
        <item x="326"/>
        <item x="327"/>
        <item x="24"/>
        <item x="201"/>
        <item x="199"/>
        <item x="18"/>
        <item x="297"/>
        <item x="99"/>
        <item x="286"/>
        <item x="44"/>
        <item x="289"/>
        <item x="270"/>
        <item x="96"/>
        <item x="220"/>
        <item x="218"/>
        <item x="221"/>
        <item x="98"/>
        <item x="231"/>
        <item x="257"/>
        <item x="237"/>
        <item x="338"/>
        <item x="262"/>
        <item x="9"/>
        <item x="61"/>
        <item x="1"/>
        <item x="51"/>
        <item x="3"/>
        <item x="45"/>
        <item x="81"/>
        <item x="6"/>
        <item x="4"/>
        <item x="7"/>
        <item x="5"/>
        <item x="8"/>
        <item x="52"/>
        <item x="195"/>
        <item x="180"/>
        <item x="193"/>
        <item x="194"/>
        <item x="179"/>
        <item x="185"/>
        <item x="188"/>
        <item x="190"/>
        <item x="191"/>
        <item x="192"/>
        <item x="186"/>
        <item x="182"/>
        <item x="189"/>
        <item x="187"/>
        <item x="181"/>
        <item x="184"/>
        <item x="183"/>
        <item x="112"/>
        <item x="115"/>
        <item x="110"/>
        <item x="268"/>
        <item x="12"/>
        <item x="232"/>
        <item x="130"/>
        <item x="127"/>
        <item x="128"/>
        <item x="129"/>
        <item x="269"/>
        <item x="280"/>
        <item x="239"/>
        <item x="311"/>
        <item x="271"/>
        <item x="146"/>
        <item x="144"/>
        <item x="145"/>
        <item x="290"/>
        <item x="38"/>
        <item x="125"/>
        <item x="126"/>
        <item x="124"/>
        <item x="32"/>
        <item x="68"/>
        <item x="150"/>
        <item x="37"/>
        <item x="156"/>
        <item x="59"/>
        <item x="291"/>
        <item x="74"/>
        <item x="65"/>
        <item x="35"/>
        <item x="2"/>
        <item x="336"/>
        <item x="55"/>
        <item x="272"/>
        <item x="243"/>
        <item x="312"/>
        <item x="273"/>
        <item x="330"/>
        <item x="335"/>
        <item x="71"/>
        <item x="306"/>
        <item x="319"/>
        <item x="97"/>
        <item x="274"/>
        <item x="66"/>
        <item x="104"/>
        <item x="275"/>
        <item x="78"/>
        <item x="261"/>
        <item x="70"/>
        <item x="219"/>
        <item x="337"/>
        <item x="320"/>
        <item x="321"/>
        <item x="303"/>
        <item x="276"/>
        <item x="26"/>
        <item x="27"/>
        <item x="75"/>
        <item x="86"/>
        <item x="304"/>
        <item x="302"/>
        <item x="80"/>
        <item x="328"/>
        <item x="49"/>
        <item x="29"/>
        <item x="277"/>
        <item x="19"/>
        <item x="83"/>
        <item x="205"/>
        <item x="203"/>
        <item x="88"/>
        <item x="331"/>
        <item x="84"/>
        <item x="76"/>
        <item x="90"/>
        <item x="100"/>
        <item x="91"/>
        <item x="94"/>
        <item x="252"/>
        <item x="253"/>
        <item x="254"/>
        <item x="87"/>
        <item x="295"/>
        <item x="287"/>
        <item x="266"/>
        <item x="213"/>
        <item x="214"/>
        <item x="215"/>
        <item x="210"/>
        <item x="216"/>
        <item x="217"/>
        <item x="212"/>
        <item x="292"/>
        <item x="147"/>
        <item x="256"/>
        <item x="17"/>
        <item x="109"/>
        <item x="108"/>
        <item x="135"/>
        <item x="134"/>
        <item x="278"/>
        <item x="293"/>
        <item x="149"/>
        <item x="148"/>
        <item x="14"/>
        <item x="102"/>
        <item x="133"/>
        <item x="131"/>
        <item x="132"/>
        <item x="60"/>
        <item x="228"/>
        <item x="227"/>
        <item x="225"/>
        <item x="226"/>
        <item x="197"/>
        <item x="198"/>
        <item x="196"/>
        <item x="107"/>
        <item x="11"/>
        <item x="47"/>
        <item x="103"/>
        <item x="118"/>
        <item x="120"/>
        <item x="121"/>
        <item x="123"/>
        <item x="122"/>
        <item x="117"/>
        <item x="119"/>
        <item x="116"/>
        <item x="245"/>
        <item x="247"/>
        <item x="322"/>
        <item x="279"/>
        <item x="222"/>
        <item x="223"/>
        <item x="258"/>
        <item x="73"/>
        <item x="89"/>
        <item x="155"/>
        <item x="82"/>
        <item x="57"/>
        <item x="105"/>
        <item x="58"/>
        <item x="93"/>
        <item x="69"/>
        <item x="288"/>
        <item x="224"/>
        <item x="240"/>
        <item x="255"/>
        <item x="251"/>
        <item x="101"/>
        <item x="211"/>
        <item x="53"/>
        <item x="23"/>
        <item x="54"/>
        <item x="31"/>
        <item x="332"/>
        <item x="301"/>
        <item x="77"/>
        <item x="85"/>
        <item x="22"/>
        <item x="30"/>
        <item x="79"/>
        <item x="323"/>
        <item x="114"/>
        <item x="25"/>
        <item x="50"/>
        <item x="0"/>
        <item x="10"/>
        <item x="67"/>
        <item x="207"/>
        <item x="41"/>
        <item x="39"/>
        <item x="42"/>
        <item x="40"/>
        <item x="20"/>
        <item x="28"/>
        <item x="284"/>
        <item x="281"/>
        <item x="282"/>
        <item x="283"/>
        <item x="285"/>
        <item x="143"/>
        <item x="142"/>
        <item x="267"/>
        <item x="13"/>
        <item x="307"/>
        <item x="259"/>
        <item x="21"/>
        <item x="294"/>
        <item x="56"/>
        <item x="246"/>
        <item x="263"/>
        <item x="33"/>
        <item x="36"/>
        <item x="244"/>
        <item x="137"/>
        <item x="136"/>
        <item x="308"/>
        <item x="235"/>
        <item x="174"/>
        <item x="159"/>
        <item x="160"/>
        <item x="161"/>
        <item x="177"/>
        <item x="178"/>
        <item x="170"/>
        <item x="168"/>
        <item x="165"/>
        <item x="173"/>
        <item x="169"/>
        <item x="175"/>
        <item x="176"/>
        <item x="171"/>
        <item x="164"/>
        <item x="163"/>
        <item x="157"/>
        <item x="166"/>
        <item x="162"/>
        <item x="167"/>
        <item x="172"/>
        <item x="158"/>
        <item x="299"/>
      </items>
    </pivotField>
    <pivotField compact="0" outline="0" showAll="0"/>
    <pivotField compact="0" outline="0" showAll="0">
      <items count="9">
        <item x="5"/>
        <item x="3"/>
        <item x="0"/>
        <item x="6"/>
        <item x="2"/>
        <item x="4"/>
        <item x="1"/>
        <item x="7"/>
        <item t="default"/>
      </items>
    </pivotField>
    <pivotField axis="axisRow" compact="0" outline="0" showAll="0" defaultSubtotal="0">
      <items count="6">
        <item x="2"/>
        <item x="3"/>
        <item x="5"/>
        <item x="1"/>
        <item x="4"/>
        <item x="0"/>
      </items>
    </pivotField>
    <pivotField axis="axisRow" compact="0" outline="0" showAll="0" defaultSubtotal="0">
      <items count="26">
        <item x="8"/>
        <item x="15"/>
        <item x="3"/>
        <item x="11"/>
        <item x="12"/>
        <item x="10"/>
        <item x="13"/>
        <item x="6"/>
        <item x="0"/>
        <item x="7"/>
        <item x="25"/>
        <item x="14"/>
        <item x="1"/>
        <item x="19"/>
        <item x="9"/>
        <item x="21"/>
        <item x="23"/>
        <item x="22"/>
        <item x="2"/>
        <item x="20"/>
        <item x="24"/>
        <item x="5"/>
        <item x="17"/>
        <item x="4"/>
        <item x="18"/>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6">
        <item x="3"/>
        <item x="4"/>
        <item x="5"/>
        <item x="1"/>
        <item sd="0" x="0"/>
        <item x="2"/>
      </items>
    </pivotField>
    <pivotField compact="0" outline="0" showAll="0"/>
    <pivotField compact="0" outline="0" showAll="0"/>
    <pivotField dataField="1" compact="0" outline="0" showAll="0">
      <items count="3">
        <item x="0"/>
        <item x="1"/>
        <item t="default"/>
      </items>
    </pivotField>
  </pivotFields>
  <rowFields count="4">
    <field x="4"/>
    <field x="0"/>
    <field x="13"/>
    <field x="3"/>
  </rowFields>
  <rowItems count="343">
    <i>
      <x/>
      <x v="277"/>
      <x v="5"/>
      <x v="5"/>
    </i>
    <i>
      <x v="1"/>
      <x v="35"/>
      <x v="3"/>
      <x v="5"/>
    </i>
    <i r="1">
      <x v="60"/>
      <x v="3"/>
      <x v="3"/>
    </i>
    <i r="1">
      <x v="61"/>
      <x v="3"/>
      <x v="3"/>
    </i>
    <i r="1">
      <x v="135"/>
      <x v="3"/>
      <x v="5"/>
    </i>
    <i r="1">
      <x v="178"/>
      <x v="3"/>
      <x v="3"/>
    </i>
    <i r="1">
      <x v="179"/>
      <x v="3"/>
      <x v="5"/>
    </i>
    <i>
      <x v="2"/>
      <x v="89"/>
      <x v="1"/>
      <x v="3"/>
    </i>
    <i r="1">
      <x v="90"/>
      <x v="3"/>
      <x v="3"/>
    </i>
    <i r="1">
      <x v="91"/>
      <x v="2"/>
      <x v="3"/>
    </i>
    <i r="1">
      <x v="92"/>
      <x/>
      <x v="3"/>
    </i>
    <i r="1">
      <x v="93"/>
      <x v="3"/>
      <x v="3"/>
    </i>
    <i r="1">
      <x v="116"/>
      <x v="5"/>
      <x v="1"/>
    </i>
    <i r="1">
      <x v="211"/>
      <x/>
      <x/>
    </i>
    <i r="1">
      <x v="220"/>
      <x v="3"/>
      <x v="1"/>
    </i>
    <i r="1">
      <x v="234"/>
      <x/>
      <x v="1"/>
    </i>
    <i r="1">
      <x v="301"/>
      <x/>
      <x v="1"/>
    </i>
    <i>
      <x v="3"/>
      <x v="39"/>
      <x v="4"/>
    </i>
    <i r="1">
      <x v="44"/>
      <x v="4"/>
    </i>
    <i r="1">
      <x v="69"/>
      <x v="5"/>
      <x v="5"/>
    </i>
    <i r="1">
      <x v="94"/>
      <x v="5"/>
      <x v="5"/>
    </i>
    <i r="1">
      <x v="144"/>
      <x v="5"/>
      <x v="5"/>
    </i>
    <i r="1">
      <x v="183"/>
      <x v="4"/>
    </i>
    <i r="1">
      <x v="188"/>
      <x v="5"/>
      <x v="3"/>
    </i>
    <i r="1">
      <x v="233"/>
      <x v="5"/>
      <x v="5"/>
    </i>
    <i r="1">
      <x v="235"/>
      <x v="5"/>
      <x v="5"/>
    </i>
    <i r="1">
      <x v="255"/>
      <x v="4"/>
    </i>
    <i r="1">
      <x v="259"/>
      <x v="4"/>
    </i>
    <i r="1">
      <x v="275"/>
      <x v="2"/>
      <x v="3"/>
    </i>
    <i r="1">
      <x v="287"/>
      <x/>
      <x v="5"/>
    </i>
    <i r="1">
      <x v="288"/>
      <x v="5"/>
      <x v="5"/>
    </i>
    <i r="1">
      <x v="289"/>
      <x v="5"/>
      <x v="5"/>
    </i>
    <i r="1">
      <x v="290"/>
      <x v="5"/>
      <x v="5"/>
    </i>
    <i r="1">
      <x v="309"/>
      <x v="4"/>
    </i>
    <i>
      <x v="4"/>
      <x v="1"/>
      <x v="3"/>
      <x v="3"/>
    </i>
    <i r="1">
      <x v="7"/>
      <x v="5"/>
      <x v="5"/>
    </i>
    <i r="1">
      <x v="20"/>
      <x v="5"/>
      <x v="3"/>
    </i>
    <i r="1">
      <x v="28"/>
      <x v="2"/>
      <x v="3"/>
    </i>
    <i r="1">
      <x v="34"/>
      <x v="4"/>
    </i>
    <i r="1">
      <x v="67"/>
      <x v="4"/>
    </i>
    <i r="1">
      <x v="83"/>
      <x v="4"/>
    </i>
    <i r="1">
      <x v="85"/>
      <x v="5"/>
      <x v="2"/>
    </i>
    <i r="1">
      <x v="88"/>
      <x v="4"/>
    </i>
    <i r="1">
      <x v="131"/>
      <x v="5"/>
      <x v="5"/>
    </i>
    <i r="1">
      <x v="136"/>
      <x v="3"/>
      <x v="3"/>
    </i>
    <i r="1">
      <x v="138"/>
      <x v="4"/>
    </i>
    <i r="1">
      <x v="142"/>
      <x v="3"/>
      <x v="3"/>
    </i>
    <i r="1">
      <x v="143"/>
      <x v="3"/>
      <x v="3"/>
    </i>
    <i r="1">
      <x v="152"/>
      <x v="4"/>
    </i>
    <i r="1">
      <x v="154"/>
      <x v="4"/>
    </i>
    <i r="1">
      <x v="159"/>
      <x v="2"/>
      <x v="3"/>
    </i>
    <i r="1">
      <x v="160"/>
      <x v="4"/>
    </i>
    <i r="1">
      <x v="162"/>
      <x v="4"/>
    </i>
    <i r="1">
      <x v="164"/>
      <x v="4"/>
    </i>
    <i r="1">
      <x v="173"/>
      <x v="1"/>
      <x v="3"/>
    </i>
    <i r="1">
      <x v="174"/>
      <x v="4"/>
    </i>
    <i r="1">
      <x v="177"/>
      <x v="2"/>
      <x v="3"/>
    </i>
    <i r="1">
      <x v="186"/>
      <x v="3"/>
      <x v="3"/>
    </i>
    <i r="1">
      <x v="187"/>
      <x v="4"/>
    </i>
    <i r="1">
      <x v="189"/>
      <x v="3"/>
      <x v="3"/>
    </i>
    <i r="1">
      <x v="190"/>
      <x v="3"/>
      <x v="3"/>
    </i>
    <i r="1">
      <x v="191"/>
      <x v="4"/>
    </i>
    <i r="1">
      <x v="192"/>
      <x v="3"/>
      <x v="3"/>
    </i>
    <i r="1">
      <x v="197"/>
      <x v="5"/>
      <x v="3"/>
    </i>
    <i r="1">
      <x v="221"/>
      <x v="2"/>
      <x v="3"/>
    </i>
    <i r="1">
      <x v="236"/>
      <x v="5"/>
      <x v="3"/>
    </i>
    <i r="1">
      <x v="252"/>
      <x v="3"/>
      <x v="3"/>
    </i>
    <i r="1">
      <x v="253"/>
      <x v="5"/>
      <x v="3"/>
    </i>
    <i r="1">
      <x v="257"/>
      <x v="5"/>
      <x v="3"/>
    </i>
    <i r="1">
      <x v="260"/>
      <x v="3"/>
      <x v="3"/>
    </i>
    <i r="1">
      <x v="266"/>
      <x v="3"/>
      <x v="3"/>
    </i>
    <i r="1">
      <x v="268"/>
      <x v="5"/>
      <x v="5"/>
    </i>
    <i r="1">
      <x v="270"/>
      <x v="2"/>
      <x v="5"/>
    </i>
    <i r="1">
      <x v="272"/>
      <x v="4"/>
    </i>
    <i r="1">
      <x v="274"/>
      <x v="5"/>
      <x v="3"/>
    </i>
    <i r="1">
      <x v="278"/>
      <x v="5"/>
      <x v="3"/>
    </i>
    <i r="1">
      <x v="282"/>
      <x v="5"/>
      <x v="4"/>
    </i>
    <i r="1">
      <x v="285"/>
      <x v="4"/>
    </i>
    <i r="1">
      <x v="310"/>
      <x v="4"/>
    </i>
    <i>
      <x v="5"/>
      <x v="2"/>
      <x/>
      <x v="5"/>
    </i>
    <i r="1">
      <x v="3"/>
      <x/>
      <x v="5"/>
    </i>
    <i r="1">
      <x v="10"/>
      <x/>
      <x v="5"/>
    </i>
    <i r="1">
      <x v="11"/>
      <x v="2"/>
      <x v="5"/>
    </i>
    <i r="1">
      <x v="12"/>
      <x/>
      <x v="5"/>
    </i>
    <i r="1">
      <x v="13"/>
      <x/>
      <x v="5"/>
    </i>
    <i r="1">
      <x v="14"/>
      <x/>
      <x v="5"/>
    </i>
    <i r="1">
      <x v="15"/>
      <x/>
      <x v="5"/>
    </i>
    <i r="1">
      <x v="16"/>
      <x/>
      <x v="5"/>
    </i>
    <i r="1">
      <x v="17"/>
      <x/>
      <x v="5"/>
    </i>
    <i r="1">
      <x v="18"/>
      <x/>
      <x v="5"/>
    </i>
    <i r="1">
      <x v="22"/>
      <x/>
      <x v="5"/>
    </i>
    <i r="1">
      <x v="23"/>
      <x/>
      <x v="5"/>
    </i>
    <i r="1">
      <x v="27"/>
      <x v="2"/>
      <x v="5"/>
    </i>
    <i r="1">
      <x v="29"/>
      <x/>
      <x v="3"/>
    </i>
    <i r="1">
      <x v="31"/>
      <x v="3"/>
      <x v="3"/>
    </i>
    <i r="1">
      <x v="32"/>
      <x v="3"/>
      <x v="3"/>
    </i>
    <i r="1">
      <x v="33"/>
      <x/>
      <x v="3"/>
    </i>
    <i r="1">
      <x v="41"/>
      <x/>
      <x v="5"/>
    </i>
    <i r="1">
      <x v="42"/>
      <x/>
      <x v="5"/>
    </i>
    <i r="1">
      <x v="45"/>
      <x/>
      <x v="5"/>
    </i>
    <i r="1">
      <x v="46"/>
      <x/>
      <x v="5"/>
    </i>
    <i r="1">
      <x v="47"/>
      <x/>
      <x v="5"/>
    </i>
    <i r="1">
      <x v="48"/>
      <x/>
      <x v="5"/>
    </i>
    <i r="1">
      <x v="50"/>
      <x/>
      <x v="5"/>
    </i>
    <i r="1">
      <x v="51"/>
      <x/>
      <x v="5"/>
    </i>
    <i r="1">
      <x v="53"/>
      <x/>
      <x v="5"/>
    </i>
    <i r="1">
      <x v="54"/>
      <x/>
      <x v="5"/>
    </i>
    <i r="1">
      <x v="55"/>
      <x/>
      <x v="5"/>
    </i>
    <i r="1">
      <x v="56"/>
      <x/>
      <x v="5"/>
    </i>
    <i r="1">
      <x v="57"/>
      <x/>
      <x v="5"/>
    </i>
    <i r="1">
      <x v="58"/>
      <x/>
      <x v="5"/>
    </i>
    <i r="1">
      <x v="59"/>
      <x/>
      <x v="5"/>
    </i>
    <i r="1">
      <x v="63"/>
      <x/>
      <x v="5"/>
    </i>
    <i r="1">
      <x v="64"/>
      <x/>
      <x v="5"/>
    </i>
    <i r="1">
      <x v="73"/>
      <x/>
      <x v="5"/>
    </i>
    <i r="1">
      <x v="74"/>
      <x/>
      <x v="5"/>
    </i>
    <i r="1">
      <x v="75"/>
      <x/>
      <x v="5"/>
    </i>
    <i r="1">
      <x v="77"/>
      <x/>
      <x v="5"/>
    </i>
    <i r="1">
      <x v="78"/>
      <x/>
      <x v="5"/>
    </i>
    <i r="1">
      <x v="79"/>
      <x/>
      <x v="5"/>
    </i>
    <i r="1">
      <x v="81"/>
      <x/>
      <x v="5"/>
    </i>
    <i r="1">
      <x v="95"/>
      <x/>
      <x v="5"/>
    </i>
    <i r="1">
      <x v="96"/>
      <x/>
      <x v="5"/>
    </i>
    <i r="1">
      <x v="97"/>
      <x/>
      <x v="5"/>
    </i>
    <i r="1">
      <x v="98"/>
      <x/>
      <x v="5"/>
    </i>
    <i r="1">
      <x v="99"/>
      <x/>
      <x v="5"/>
    </i>
    <i r="1">
      <x v="100"/>
      <x/>
      <x v="5"/>
    </i>
    <i r="1">
      <x v="101"/>
      <x/>
      <x v="5"/>
    </i>
    <i r="1">
      <x v="102"/>
      <x/>
      <x v="5"/>
    </i>
    <i r="1">
      <x v="103"/>
      <x/>
      <x v="5"/>
    </i>
    <i r="1">
      <x v="104"/>
      <x/>
      <x v="5"/>
    </i>
    <i r="1">
      <x v="105"/>
      <x/>
      <x v="5"/>
    </i>
    <i r="1">
      <x v="106"/>
      <x/>
      <x v="5"/>
    </i>
    <i r="1">
      <x v="107"/>
      <x/>
      <x v="5"/>
    </i>
    <i r="1">
      <x v="108"/>
      <x/>
      <x v="5"/>
    </i>
    <i r="1">
      <x v="109"/>
      <x/>
      <x v="5"/>
    </i>
    <i r="1">
      <x v="110"/>
      <x/>
      <x v="5"/>
    </i>
    <i r="1">
      <x v="111"/>
      <x/>
      <x v="5"/>
    </i>
    <i r="1">
      <x v="112"/>
      <x v="2"/>
      <x v="5"/>
    </i>
    <i r="1">
      <x v="113"/>
      <x/>
      <x v="3"/>
    </i>
    <i r="1">
      <x v="114"/>
      <x v="2"/>
      <x v="5"/>
    </i>
    <i r="1">
      <x v="115"/>
      <x v="2"/>
      <x v="5"/>
    </i>
    <i r="1">
      <x v="117"/>
      <x/>
      <x v="5"/>
    </i>
    <i r="1">
      <x v="118"/>
      <x/>
      <x v="5"/>
    </i>
    <i r="1">
      <x v="119"/>
      <x/>
      <x v="5"/>
    </i>
    <i r="1">
      <x v="120"/>
      <x/>
      <x v="5"/>
    </i>
    <i r="1">
      <x v="121"/>
      <x/>
      <x v="5"/>
    </i>
    <i r="1">
      <x v="124"/>
      <x/>
      <x/>
    </i>
    <i r="1">
      <x v="127"/>
      <x/>
      <x v="5"/>
    </i>
    <i r="1">
      <x v="128"/>
      <x/>
      <x v="5"/>
    </i>
    <i r="1">
      <x v="129"/>
      <x/>
      <x v="5"/>
    </i>
    <i r="1">
      <x v="132"/>
      <x/>
      <x v="5"/>
    </i>
    <i r="1">
      <x v="133"/>
      <x/>
      <x v="5"/>
    </i>
    <i r="1">
      <x v="134"/>
      <x/>
      <x v="5"/>
    </i>
    <i r="1">
      <x v="135"/>
      <x v="3"/>
      <x v="3"/>
    </i>
    <i r="1">
      <x v="137"/>
      <x/>
      <x v="5"/>
    </i>
    <i r="1">
      <x v="146"/>
      <x/>
      <x v="5"/>
    </i>
    <i r="1">
      <x v="149"/>
      <x/>
      <x v="5"/>
    </i>
    <i r="1">
      <x v="153"/>
      <x/>
      <x v="5"/>
    </i>
    <i r="1">
      <x v="163"/>
      <x/>
      <x v="5"/>
    </i>
    <i r="1">
      <x v="165"/>
      <x/>
      <x v="5"/>
    </i>
    <i r="1">
      <x v="166"/>
      <x/>
      <x v="5"/>
    </i>
    <i r="1">
      <x v="184"/>
      <x/>
      <x v="5"/>
    </i>
    <i r="1">
      <x v="185"/>
      <x/>
      <x v="5"/>
    </i>
    <i r="1">
      <x v="194"/>
      <x/>
      <x v="5"/>
    </i>
    <i r="1">
      <x v="195"/>
      <x/>
      <x v="5"/>
    </i>
    <i r="1">
      <x v="196"/>
      <x/>
      <x v="5"/>
    </i>
    <i r="1">
      <x v="200"/>
      <x/>
      <x v="5"/>
    </i>
    <i r="1">
      <x v="201"/>
      <x/>
      <x v="5"/>
    </i>
    <i r="1">
      <x v="202"/>
      <x/>
      <x v="5"/>
    </i>
    <i r="1">
      <x v="203"/>
      <x/>
      <x v="5"/>
    </i>
    <i r="1">
      <x v="204"/>
      <x/>
      <x v="5"/>
    </i>
    <i r="1">
      <x v="205"/>
      <x/>
      <x v="5"/>
    </i>
    <i r="1">
      <x v="206"/>
      <x/>
      <x v="5"/>
    </i>
    <i r="1">
      <x v="207"/>
      <x/>
      <x v="5"/>
    </i>
    <i r="1">
      <x v="209"/>
      <x/>
      <x v="5"/>
    </i>
    <i r="1">
      <x v="210"/>
      <x/>
      <x v="5"/>
    </i>
    <i r="1">
      <x v="212"/>
      <x v="2"/>
      <x v="5"/>
    </i>
    <i r="1">
      <x v="213"/>
      <x v="2"/>
      <x v="5"/>
    </i>
    <i r="1">
      <x v="214"/>
      <x/>
      <x v="5"/>
    </i>
    <i r="1">
      <x v="215"/>
      <x/>
      <x v="5"/>
    </i>
    <i r="1">
      <x v="218"/>
      <x/>
      <x v="5"/>
    </i>
    <i r="1">
      <x v="219"/>
      <x/>
      <x v="5"/>
    </i>
    <i r="1">
      <x v="222"/>
      <x/>
      <x v="5"/>
    </i>
    <i r="1">
      <x v="223"/>
      <x/>
      <x v="5"/>
    </i>
    <i r="1">
      <x v="224"/>
      <x/>
      <x v="5"/>
    </i>
    <i r="1">
      <x v="226"/>
      <x/>
      <x v="5"/>
    </i>
    <i r="1">
      <x v="227"/>
      <x/>
      <x v="5"/>
    </i>
    <i r="1">
      <x v="228"/>
      <x/>
      <x v="5"/>
    </i>
    <i r="1">
      <x v="229"/>
      <x/>
      <x v="5"/>
    </i>
    <i r="1">
      <x v="230"/>
      <x/>
      <x v="5"/>
    </i>
    <i r="1">
      <x v="231"/>
      <x/>
      <x v="5"/>
    </i>
    <i r="1">
      <x v="232"/>
      <x/>
      <x v="5"/>
    </i>
    <i r="1">
      <x v="237"/>
      <x/>
      <x v="5"/>
    </i>
    <i r="1">
      <x v="238"/>
      <x/>
      <x v="5"/>
    </i>
    <i r="1">
      <x v="239"/>
      <x/>
      <x v="5"/>
    </i>
    <i r="1">
      <x v="240"/>
      <x/>
      <x v="5"/>
    </i>
    <i r="1">
      <x v="241"/>
      <x/>
      <x v="5"/>
    </i>
    <i r="1">
      <x v="242"/>
      <x/>
      <x v="5"/>
    </i>
    <i r="1">
      <x v="243"/>
      <x/>
      <x v="5"/>
    </i>
    <i r="1">
      <x v="244"/>
      <x/>
      <x v="5"/>
    </i>
    <i r="1">
      <x v="245"/>
      <x/>
      <x v="5"/>
    </i>
    <i r="1">
      <x v="246"/>
      <x/>
      <x v="5"/>
    </i>
    <i r="1">
      <x v="249"/>
      <x/>
      <x v="5"/>
    </i>
    <i r="1">
      <x v="250"/>
      <x/>
      <x v="5"/>
    </i>
    <i r="1">
      <x v="251"/>
      <x/>
      <x v="5"/>
    </i>
    <i r="1">
      <x v="254"/>
      <x/>
      <x v="5"/>
    </i>
    <i r="1">
      <x v="262"/>
      <x/>
      <x v="5"/>
    </i>
    <i r="1">
      <x v="263"/>
      <x/>
      <x v="5"/>
    </i>
    <i r="1">
      <x v="264"/>
      <x/>
      <x v="5"/>
    </i>
    <i r="1">
      <x v="265"/>
      <x/>
      <x v="5"/>
    </i>
    <i r="1">
      <x v="267"/>
      <x/>
      <x v="5"/>
    </i>
    <i r="1">
      <x v="280"/>
      <x v="2"/>
      <x v="5"/>
    </i>
    <i r="1">
      <x v="286"/>
      <x/>
      <x v="5"/>
    </i>
    <i r="1">
      <x v="298"/>
      <x/>
      <x v="5"/>
    </i>
    <i r="1">
      <x v="299"/>
      <x/>
      <x v="5"/>
    </i>
    <i r="1">
      <x v="300"/>
      <x/>
      <x v="5"/>
    </i>
    <i r="1">
      <x v="303"/>
      <x/>
      <x v="5"/>
    </i>
    <i r="1">
      <x v="307"/>
      <x/>
      <x v="5"/>
    </i>
    <i r="1">
      <x v="308"/>
      <x/>
      <x v="5"/>
    </i>
    <i r="1">
      <x v="311"/>
      <x/>
      <x v="5"/>
    </i>
    <i r="1">
      <x v="312"/>
      <x/>
      <x v="5"/>
    </i>
    <i r="1">
      <x v="313"/>
      <x/>
      <x v="5"/>
    </i>
    <i r="1">
      <x v="315"/>
      <x/>
      <x v="5"/>
    </i>
    <i r="1">
      <x v="316"/>
      <x/>
      <x v="5"/>
    </i>
    <i r="1">
      <x v="317"/>
      <x/>
      <x v="5"/>
    </i>
    <i r="1">
      <x v="318"/>
      <x/>
      <x v="5"/>
    </i>
    <i r="1">
      <x v="319"/>
      <x/>
      <x v="5"/>
    </i>
    <i r="1">
      <x v="320"/>
      <x/>
      <x v="5"/>
    </i>
    <i r="1">
      <x v="321"/>
      <x/>
      <x v="5"/>
    </i>
    <i r="1">
      <x v="322"/>
      <x/>
      <x v="5"/>
    </i>
    <i r="1">
      <x v="323"/>
      <x/>
      <x v="5"/>
    </i>
    <i r="1">
      <x v="324"/>
      <x/>
      <x v="5"/>
    </i>
    <i r="1">
      <x v="325"/>
      <x/>
      <x v="5"/>
    </i>
    <i r="1">
      <x v="326"/>
      <x/>
      <x v="5"/>
    </i>
    <i r="1">
      <x v="327"/>
      <x/>
      <x v="5"/>
    </i>
    <i r="1">
      <x v="328"/>
      <x/>
      <x v="5"/>
    </i>
    <i r="1">
      <x v="329"/>
      <x/>
      <x v="5"/>
    </i>
    <i r="1">
      <x v="330"/>
      <x/>
      <x v="5"/>
    </i>
    <i r="1">
      <x v="331"/>
      <x/>
      <x v="5"/>
    </i>
    <i r="1">
      <x v="332"/>
      <x/>
      <x v="5"/>
    </i>
    <i r="1">
      <x v="333"/>
      <x/>
      <x v="5"/>
    </i>
    <i r="1">
      <x v="334"/>
      <x/>
      <x v="5"/>
    </i>
    <i r="1">
      <x v="335"/>
      <x/>
      <x v="5"/>
    </i>
    <i r="1">
      <x v="336"/>
      <x/>
      <x v="5"/>
    </i>
    <i r="1">
      <x v="337"/>
      <x/>
      <x v="5"/>
    </i>
    <i>
      <x v="6"/>
      <x v="9"/>
      <x v="1"/>
      <x v="5"/>
    </i>
    <i r="1">
      <x v="49"/>
      <x v="5"/>
      <x v="5"/>
    </i>
    <i>
      <x v="7"/>
      <x v="30"/>
      <x v="3"/>
      <x/>
    </i>
    <i r="1">
      <x v="62"/>
      <x v="3"/>
      <x/>
    </i>
    <i r="1">
      <x v="171"/>
      <x v="3"/>
      <x/>
    </i>
    <i r="1">
      <x v="172"/>
      <x v="3"/>
      <x/>
    </i>
    <i r="1">
      <x v="281"/>
      <x v="3"/>
      <x/>
    </i>
    <i>
      <x v="8"/>
      <x v="283"/>
      <x v="4"/>
    </i>
    <i>
      <x v="9"/>
      <x v="37"/>
      <x v="4"/>
    </i>
    <i r="1">
      <x v="65"/>
      <x v="5"/>
      <x/>
    </i>
    <i r="1">
      <x v="182"/>
      <x v="5"/>
      <x/>
    </i>
    <i r="1">
      <x v="193"/>
      <x v="4"/>
    </i>
    <i r="1">
      <x v="276"/>
      <x v="2"/>
      <x/>
    </i>
    <i r="1">
      <x v="304"/>
      <x v="4"/>
    </i>
    <i>
      <x v="10"/>
      <x v="76"/>
      <x v="2"/>
      <x/>
    </i>
    <i>
      <x v="11"/>
      <x v="87"/>
      <x v="5"/>
      <x v="5"/>
    </i>
    <i>
      <x v="12"/>
      <x v="84"/>
      <x v="3"/>
      <x v="5"/>
    </i>
    <i r="1">
      <x v="86"/>
      <x v="5"/>
      <x/>
    </i>
    <i>
      <x v="13"/>
      <x v="24"/>
      <x/>
      <x v="3"/>
    </i>
    <i r="1">
      <x v="68"/>
      <x/>
      <x v="5"/>
    </i>
    <i r="1">
      <x v="71"/>
      <x v="4"/>
    </i>
    <i r="1">
      <x v="122"/>
      <x v="5"/>
      <x v="3"/>
    </i>
    <i r="1">
      <x v="123"/>
      <x/>
      <x v="5"/>
    </i>
    <i r="1">
      <x v="126"/>
      <x/>
      <x v="5"/>
    </i>
    <i r="1">
      <x v="148"/>
      <x v="4"/>
    </i>
    <i r="1">
      <x v="151"/>
      <x v="4"/>
    </i>
    <i r="1">
      <x v="158"/>
      <x v="4"/>
    </i>
    <i r="1">
      <x v="161"/>
      <x v="4"/>
    </i>
    <i r="1">
      <x v="170"/>
      <x v="4"/>
    </i>
    <i r="1">
      <x v="181"/>
      <x v="5"/>
      <x v="5"/>
    </i>
    <i r="1">
      <x v="199"/>
      <x v="4"/>
    </i>
    <i r="1">
      <x v="216"/>
      <x v="4"/>
    </i>
    <i r="1">
      <x v="248"/>
      <x/>
      <x v="5"/>
    </i>
    <i r="1">
      <x v="293"/>
      <x/>
      <x v="5"/>
    </i>
    <i r="1">
      <x v="294"/>
      <x/>
      <x v="5"/>
    </i>
    <i r="1">
      <x v="295"/>
      <x/>
      <x v="5"/>
    </i>
    <i r="1">
      <x v="296"/>
      <x/>
      <x v="5"/>
    </i>
    <i r="1">
      <x v="297"/>
      <x/>
      <x v="5"/>
    </i>
    <i>
      <x v="14"/>
      <x v="76"/>
      <x v="4"/>
    </i>
    <i r="1">
      <x v="139"/>
      <x/>
      <x/>
    </i>
    <i r="1">
      <x v="140"/>
      <x v="4"/>
    </i>
    <i r="1">
      <x v="147"/>
      <x v="3"/>
      <x/>
    </i>
    <i r="1">
      <x v="225"/>
      <x v="3"/>
      <x/>
    </i>
    <i r="1">
      <x v="271"/>
      <x v="5"/>
      <x/>
    </i>
    <i>
      <x v="15"/>
      <x v="6"/>
      <x/>
      <x v="5"/>
    </i>
    <i>
      <x v="16"/>
      <x/>
      <x/>
      <x v="3"/>
    </i>
    <i r="1">
      <x v="4"/>
      <x/>
      <x v="3"/>
    </i>
    <i r="1">
      <x v="6"/>
      <x/>
      <x v="3"/>
    </i>
    <i r="1">
      <x v="19"/>
      <x/>
      <x v="3"/>
    </i>
    <i r="1">
      <x v="38"/>
      <x v="4"/>
    </i>
    <i r="1">
      <x v="40"/>
      <x/>
      <x v="3"/>
    </i>
    <i r="1">
      <x v="43"/>
      <x/>
      <x v="3"/>
    </i>
    <i r="1">
      <x v="52"/>
      <x/>
      <x v="3"/>
    </i>
    <i r="1">
      <x v="125"/>
      <x v="4"/>
    </i>
    <i r="1">
      <x v="150"/>
      <x v="4"/>
    </i>
    <i r="1">
      <x v="156"/>
      <x/>
      <x v="3"/>
    </i>
    <i r="1">
      <x v="167"/>
      <x/>
      <x v="3"/>
    </i>
    <i r="1">
      <x v="168"/>
      <x/>
      <x v="3"/>
    </i>
    <i r="1">
      <x v="247"/>
      <x/>
      <x v="3"/>
    </i>
    <i r="1">
      <x v="279"/>
      <x v="2"/>
      <x v="3"/>
    </i>
    <i>
      <x v="17"/>
      <x v="21"/>
      <x/>
      <x v="3"/>
    </i>
    <i r="1">
      <x v="36"/>
      <x v="5"/>
      <x v="3"/>
    </i>
    <i r="1">
      <x v="155"/>
      <x v="4"/>
    </i>
    <i r="1">
      <x v="169"/>
      <x v="4"/>
    </i>
    <i r="1">
      <x v="175"/>
      <x v="4"/>
    </i>
    <i r="1">
      <x v="176"/>
      <x v="4"/>
    </i>
    <i r="1">
      <x v="273"/>
      <x/>
      <x v="3"/>
    </i>
    <i r="1">
      <x v="302"/>
      <x/>
      <x v="3"/>
    </i>
    <i r="1">
      <x v="314"/>
      <x v="4"/>
    </i>
    <i>
      <x v="18"/>
      <x v="5"/>
      <x v="2"/>
      <x/>
    </i>
    <i r="1">
      <x v="145"/>
      <x v="5"/>
      <x v="3"/>
    </i>
    <i r="1">
      <x v="180"/>
      <x/>
      <x/>
    </i>
    <i r="1">
      <x v="269"/>
      <x v="5"/>
      <x/>
    </i>
    <i r="1">
      <x v="291"/>
      <x v="5"/>
      <x/>
    </i>
    <i r="1">
      <x v="292"/>
      <x v="4"/>
    </i>
    <i>
      <x v="19"/>
      <x v="25"/>
      <x/>
      <x v="5"/>
    </i>
    <i r="1">
      <x v="26"/>
      <x/>
      <x v="5"/>
    </i>
    <i r="1">
      <x v="66"/>
      <x/>
      <x v="5"/>
    </i>
    <i r="1">
      <x v="70"/>
      <x/>
      <x v="5"/>
    </i>
    <i r="1">
      <x v="130"/>
      <x/>
      <x v="5"/>
    </i>
    <i r="1">
      <x v="141"/>
      <x/>
      <x v="5"/>
    </i>
    <i r="1">
      <x v="198"/>
      <x/>
      <x v="5"/>
    </i>
    <i r="1">
      <x v="208"/>
      <x/>
      <x v="5"/>
    </i>
    <i r="1">
      <x v="217"/>
      <x/>
      <x v="5"/>
    </i>
    <i r="1">
      <x v="305"/>
      <x/>
      <x v="5"/>
    </i>
    <i r="1">
      <x v="338"/>
      <x/>
      <x v="5"/>
    </i>
    <i>
      <x v="20"/>
      <x v="80"/>
      <x/>
      <x v="5"/>
    </i>
    <i>
      <x v="21"/>
      <x v="284"/>
      <x/>
      <x v="3"/>
    </i>
    <i>
      <x v="22"/>
      <x v="72"/>
      <x v="4"/>
    </i>
    <i>
      <x v="23"/>
      <x v="82"/>
      <x v="4"/>
    </i>
    <i>
      <x v="24"/>
      <x v="157"/>
      <x v="4"/>
    </i>
    <i>
      <x v="25"/>
      <x v="8"/>
      <x v="5"/>
      <x v="5"/>
    </i>
    <i r="1">
      <x v="256"/>
      <x v="4"/>
    </i>
    <i r="1">
      <x v="258"/>
      <x v="1"/>
      <x/>
    </i>
    <i r="1">
      <x v="261"/>
      <x/>
      <x v="5"/>
    </i>
    <i r="1">
      <x v="306"/>
      <x v="5"/>
      <x v="5"/>
    </i>
    <i t="grand">
      <x/>
    </i>
  </rowItems>
  <colItems count="1">
    <i/>
  </colItems>
  <dataFields count="1">
    <dataField name=" compétences" fld="16" baseField="0" baseItem="0"/>
  </dataFields>
  <formats count="2">
    <format dxfId="11">
      <pivotArea dataOnly="0" labelOnly="1" outline="0" axis="axisValues" fieldPosition="0"/>
    </format>
    <format dxfId="12">
      <pivotArea field="0" type="button" dataOnly="0" labelOnly="1" outline="0" axis="axisRow" fieldPosition="1"/>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97EEED-893E-4977-AC56-166169736C01}" name="Tableau1" displayName="Tableau1" ref="A1:BR40" totalsRowShown="0" headerRowDxfId="8">
  <autoFilter ref="A1:BR40" xr:uid="{E597EEED-893E-4977-AC56-166169736C01}"/>
  <sortState xmlns:xlrd2="http://schemas.microsoft.com/office/spreadsheetml/2017/richdata2" ref="A2:AM33">
    <sortCondition ref="A1:A33"/>
  </sortState>
  <tableColumns count="70">
    <tableColumn id="1" xr3:uid="{5BB5AD4D-0808-4155-9847-B74B8EB222BB}" name="Séances" dataDxfId="7"/>
    <tableColumn id="2" xr3:uid="{3E5EDA7D-CEA3-437B-89BD-C434647FD947}" name="ok up2c"/>
    <tableColumn id="3" xr3:uid="{03A375C8-7550-42DC-86B9-5E159DBD0D87}" name="Count">
      <calculatedColumnFormula>COUNTIF(D2:AL2,"oui")</calculatedColumnFormula>
    </tableColumn>
    <tableColumn id="4" xr3:uid="{4C62D0BD-E9F5-444D-8536-1B59755D13A6}" name="1a"/>
    <tableColumn id="5" xr3:uid="{1F74709C-10F4-41BB-B148-8767CB605569}" name="1b"/>
    <tableColumn id="6" xr3:uid="{DBFD3978-4DE7-4ADF-95F7-4306F12A908E}" name="1c"/>
    <tableColumn id="7" xr3:uid="{219A8517-9F25-4CFA-BAE3-935395D7BFD1}" name="1d"/>
    <tableColumn id="8" xr3:uid="{688B6937-7A1E-498C-AEC0-271F4E0A4C58}" name="1e"/>
    <tableColumn id="9" xr3:uid="{4E7AE745-7705-4F55-A204-434FEEAD6E3B}" name="2a"/>
    <tableColumn id="10" xr3:uid="{B740CBE5-30FD-49E0-91DD-8F54AFB6A078}" name="2b"/>
    <tableColumn id="11" xr3:uid="{17D7C707-7636-42E2-B548-7BB6A268E121}" name="2c"/>
    <tableColumn id="12" xr3:uid="{27B3E618-B6E8-4008-A1E6-299E45B7EE6C}" name="2d"/>
    <tableColumn id="13" xr3:uid="{4E9C1B39-4E48-454B-9132-679982D019DE}" name="3a"/>
    <tableColumn id="14" xr3:uid="{5BBA9527-E81E-46CB-9900-190D6F066275}" name="3b"/>
    <tableColumn id="15" xr3:uid="{61009A2C-BFBE-4B93-B7A5-E435F15EE093}" name="3c"/>
    <tableColumn id="16" xr3:uid="{776A89E3-AB0D-4BF0-9B40-6552A537B8EF}" name="3d"/>
    <tableColumn id="17" xr3:uid="{1E3788AD-15D4-436E-A0D8-030325CC7B55}" name="3e"/>
    <tableColumn id="18" xr3:uid="{056C649D-0AAF-45AD-8A28-6EF205BAE43B}" name="4a"/>
    <tableColumn id="19" xr3:uid="{31005CBD-642B-48CD-B1DE-836201CEA661}" name="4b"/>
    <tableColumn id="20" xr3:uid="{B4E37196-B60A-4BF3-BA34-2D8A73AAB4B3}" name="4c"/>
    <tableColumn id="21" xr3:uid="{D8D57E43-49E3-4B5D-9E75-6601BAB45868}" name="5a"/>
    <tableColumn id="22" xr3:uid="{31D4AD0A-0A46-4B6A-9CF1-F36FBB03E6F2}" name="5b"/>
    <tableColumn id="23" xr3:uid="{C8C70EF7-43F3-4F3A-89FD-7A1F899E99B2}" name="5c"/>
    <tableColumn id="24" xr3:uid="{FFA8BC90-3120-46F2-A305-F0A38116EEBD}" name="6a"/>
    <tableColumn id="25" xr3:uid="{F0663405-7693-474C-BE4E-60D0EC9A3CE5}" name="6b"/>
    <tableColumn id="26" xr3:uid="{DF80C4D8-AF3B-4D64-83C2-30DA72FD80BB}" name="6c"/>
    <tableColumn id="27" xr3:uid="{771282C3-96BE-4410-96E4-103D7CB2F229}" name="7a"/>
    <tableColumn id="28" xr3:uid="{8DB9D587-70F0-4AA2-81F8-322A1C1D1F62}" name="7b"/>
    <tableColumn id="29" xr3:uid="{1E105D4E-EF0F-4DE8-977C-5BC97ED2BFFD}" name="7c"/>
    <tableColumn id="30" xr3:uid="{AE86D260-0AA0-42EB-B084-EA648827F97E}" name="7d"/>
    <tableColumn id="31" xr3:uid="{1084A0FA-5F69-4580-B8D6-D23751D7D3F8}" name="8a"/>
    <tableColumn id="32" xr3:uid="{1F677447-6C4C-4DD4-BFD5-28479410B7B5}" name="8b"/>
    <tableColumn id="33" xr3:uid="{89BC13F8-AB8B-4690-AAD2-E33F86747F7C}" name="8c"/>
    <tableColumn id="34" xr3:uid="{1E71ECCC-CD47-4E94-913F-1E3764D3C87F}" name="9a"/>
    <tableColumn id="35" xr3:uid="{F69FECE6-4DCF-4332-8063-B17977B3289F}" name="9b"/>
    <tableColumn id="36" xr3:uid="{84C71434-7C34-412B-9ECD-E1F603ECB5FB}" name="9c"/>
    <tableColumn id="37" xr3:uid="{36BFFF1F-A957-4AB7-844C-DA3251A3A47E}" name="9d"/>
    <tableColumn id="38" xr3:uid="{FC436CAA-9E64-46A6-A070-A1AD3BDDA196}" name="9e"/>
    <tableColumn id="39" xr3:uid="{EAC684FE-889D-4F45-88F6-160784DBA8C4}" name="Colonne1"/>
    <tableColumn id="40" xr3:uid="{577E2B45-7C0D-4CA5-8C1F-ADC0546628A2}" name="Identité et image de soi"/>
    <tableColumn id="41" xr3:uid="{6F63A958-2AEB-43C6-8983-362CCBC110C7}" name="Confiance en soi"/>
    <tableColumn id="42" xr3:uid="{744AA124-AB2C-48FA-8329-7C8D991340C8}" name="Gestion émotionnelle"/>
    <tableColumn id="43" xr3:uid="{FABF2833-2AAE-4A78-9E9F-AE5FB31989A0}" name="Motivation et engagement personnel"/>
    <tableColumn id="44" xr3:uid="{0E81DEBD-7E28-47BC-A689-593E9CB8FAFD}" name="Communication orale"/>
    <tableColumn id="45" xr3:uid="{5B94C041-AB60-4642-8DFE-5E6AFD294226}" name="Écoute et compréhension"/>
    <tableColumn id="46" xr3:uid="{E3FFC62D-3A43-48E3-B7C2-6F3419AA54C6}" name="Communication écrite"/>
    <tableColumn id="47" xr3:uid="{833ADF31-602D-4E68-8357-EC18ED3323BD}" name="Communication professionnelle"/>
    <tableColumn id="48" xr3:uid="{418FBAE5-C709-4073-BF68-10D12A4E2F47}" name="Vie de groupe"/>
    <tableColumn id="49" xr3:uid="{61541720-3B55-435E-BBEA-FDDA49D8D06D}" name="Coopération"/>
    <tableColumn id="50" xr3:uid="{05DCF629-751D-4536-867D-51DB95584FEB}" name="Gestion des relations"/>
    <tableColumn id="51" xr3:uid="{FD071EB4-70ED-4363-B872-3D27E39AE72A}" name="Citoyenneté"/>
    <tableColumn id="52" xr3:uid="{176566B8-4DC9-4F2E-B4D2-155132A74A40}" name="Méthodes d’apprentissage"/>
    <tableColumn id="53" xr3:uid="{308B2BB2-CD18-41C6-8F4E-E464B0A5BCC8}" name="Compétences de base"/>
    <tableColumn id="54" xr3:uid="{442D2EF3-72CD-4A48-B37E-6544C0A31EA4}" name="Organisation personnelle"/>
    <tableColumn id="55" xr3:uid="{33EC26B5-F6A4-4F01-9E40-43A42AA1CE1B}" name="Autonomie dans les démarches"/>
    <tableColumn id="56" xr3:uid="{37C54D2A-AF86-45B3-8DC7-850D49182F3B}" name="Découverte des métiers"/>
    <tableColumn id="57" xr3:uid="{49A1EE78-32D8-419D-9D17-543560B0134F}" name="Fonctionnement des organisations"/>
    <tableColumn id="58" xr3:uid="{021464D6-13C4-490D-8A88-E18783FEC1BB}" name="Codes professionnels"/>
    <tableColumn id="59" xr3:uid="{6F7E3096-8466-4DEF-B14B-77666D18BEA4}" name="Expérience en entreprise"/>
    <tableColumn id="60" xr3:uid="{79AC3869-9B6E-4BC1-B156-6038750D5F2B}" name="Environnement socio-économique"/>
    <tableColumn id="61" xr3:uid="{34011435-6212-42D3-8E1B-1AF5E6AD7CEB}" name="Exploration"/>
    <tableColumn id="62" xr3:uid="{559B13CD-DB1E-4109-9E05-71D61D19D3C6}" name="Choix et décision"/>
    <tableColumn id="63" xr3:uid="{A99DD49F-8D3F-4FD0-AFA2-6654E5809346}" name="Élaboration du projet"/>
    <tableColumn id="64" xr3:uid="{542701E0-F044-41F6-9293-0164156ABAE2}" name="Recherche de stage, d’emploi ou de formation"/>
    <tableColumn id="65" xr3:uid="{8226FA7B-E696-4789-8710-ED9B4E80B418}" name="Sécurisation du parcours"/>
    <tableColumn id="66" xr3:uid="{C413EE7F-DD60-4A4E-ADA1-072760C78405}" name="Initiative"/>
    <tableColumn id="67" xr3:uid="{D7B45F34-099A-4C9F-97BB-29372E033C10}" name="Responsabilisation"/>
    <tableColumn id="68" xr3:uid="{02747868-DE53-46E3-BE81-0DE534BC69DA}" name="Gestion des freins"/>
    <tableColumn id="69" xr3:uid="{4A15FDEC-E4F5-48B4-90E3-F098418EE1DF}" name="Persévérance"/>
    <tableColumn id="70" xr3:uid="{EBF5C781-F657-48D6-9CAE-B66BFE3154BF}" name="Mobilisation des ressources"/>
  </tableColumns>
  <tableStyleInfo name="TableStyleMedium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A1924E-9CCD-4C71-8660-985F5AAA5BC5}" name="Tableau3" displayName="Tableau3" ref="A1:BR31" totalsRowShown="0" headerRowDxfId="6">
  <autoFilter ref="A1:BR31" xr:uid="{5EA1924E-9CCD-4C71-8660-985F5AAA5BC5}"/>
  <tableColumns count="70">
    <tableColumn id="1" xr3:uid="{24B63983-27A3-42C4-9ADC-E454CD037988}" name="Séances"/>
    <tableColumn id="2" xr3:uid="{961C60B4-1E4D-49FA-9E18-C2BA2AB06512}" name="ok up2c"/>
    <tableColumn id="3" xr3:uid="{8B720D95-5951-4C0F-A34C-F661FDBB0FB4}" name="Count">
      <calculatedColumnFormula>AM2</calculatedColumnFormula>
    </tableColumn>
    <tableColumn id="4" xr3:uid="{E78A56BF-E033-4D85-B078-8384D348D25F}" name="1a"/>
    <tableColumn id="5" xr3:uid="{A6431D50-0C34-43B0-ADFC-E2AA45EB4F60}" name="1b"/>
    <tableColumn id="6" xr3:uid="{1895E750-1792-4736-9F5D-F7AD51439DA1}" name="1c"/>
    <tableColumn id="7" xr3:uid="{897FF899-5405-4290-AD06-07876F9911F6}" name="1d"/>
    <tableColumn id="8" xr3:uid="{FB3E8736-BE51-4C96-9976-7599598F1B27}" name="1e"/>
    <tableColumn id="9" xr3:uid="{DBB0701C-5796-4B9B-BFA6-E46CAABFF4CE}" name="2a"/>
    <tableColumn id="10" xr3:uid="{296FF6D0-3CBF-4351-854D-2F66E8336DF4}" name="2b"/>
    <tableColumn id="11" xr3:uid="{6B75FF84-1555-4CCC-8931-6A4036D0D918}" name="2c"/>
    <tableColumn id="12" xr3:uid="{6776EBA3-13FE-40B6-A3C0-39E83F62CF3F}" name="2d"/>
    <tableColumn id="13" xr3:uid="{CA29DFA7-DE81-4A86-A823-E7126744BB6B}" name="3a"/>
    <tableColumn id="14" xr3:uid="{F6695A9F-DF5C-4D4F-9376-5747C13784F5}" name="3b"/>
    <tableColumn id="15" xr3:uid="{578E1696-668F-40F3-A483-9274975A4A91}" name="3c"/>
    <tableColumn id="16" xr3:uid="{5259A426-3304-4583-88D5-514ED5A04A76}" name="3d"/>
    <tableColumn id="17" xr3:uid="{3D04FD5B-E29F-4625-BB33-6DEB42A10B89}" name="3e"/>
    <tableColumn id="18" xr3:uid="{C86EB5CA-515E-490D-8A70-33DE485158A6}" name="4a"/>
    <tableColumn id="19" xr3:uid="{4C0D7D2E-2F2F-42BD-A673-8E409CAB8DBC}" name="4b"/>
    <tableColumn id="20" xr3:uid="{D8602010-14C4-4E32-9E4A-C7754F685FD6}" name="4c"/>
    <tableColumn id="21" xr3:uid="{0FCF69C4-4DB4-4E25-B959-D873CCE4EC8E}" name="5a"/>
    <tableColumn id="22" xr3:uid="{2304E505-1DB8-4CAF-8D95-7FDB4D64B5B4}" name="5b"/>
    <tableColumn id="23" xr3:uid="{A0E667E4-A4A6-4059-94E4-B3635C15C4B7}" name="5c"/>
    <tableColumn id="24" xr3:uid="{9082FCB0-3B09-417F-9496-F723C8F32556}" name="6a"/>
    <tableColumn id="25" xr3:uid="{60F49BE1-5FDE-4199-95BB-73EC25242D38}" name="6b"/>
    <tableColumn id="26" xr3:uid="{527E097B-B33F-49A1-9E20-234F49529D0F}" name="6c"/>
    <tableColumn id="27" xr3:uid="{BF3E50C7-69D4-4F0E-BC0E-6DD2D8327000}" name="7a"/>
    <tableColumn id="28" xr3:uid="{56FE4A08-5E37-4D60-84A5-850C5A558458}" name="7b"/>
    <tableColumn id="29" xr3:uid="{EA25CB14-83E2-4D90-9882-D28DC8F89CB8}" name="7c"/>
    <tableColumn id="30" xr3:uid="{6E2E97EA-7FAF-4477-B54A-23F91AF8F4E3}" name="7d"/>
    <tableColumn id="31" xr3:uid="{82DA8BB6-5481-44FE-954B-DE74E3F2C083}" name="8a"/>
    <tableColumn id="32" xr3:uid="{A6C62B3B-3540-4444-9B6D-8641E08A6C91}" name="8b"/>
    <tableColumn id="33" xr3:uid="{DDF0C95B-A253-4713-8166-66561B2D722E}" name="8c"/>
    <tableColumn id="34" xr3:uid="{EBA6D47E-EAC2-489E-A4B1-2724C57B9529}" name="9a"/>
    <tableColumn id="35" xr3:uid="{4700FBB0-2EAA-43DD-9CCA-E9A1C54B5427}" name="9b"/>
    <tableColumn id="36" xr3:uid="{EAA097DB-8C32-4081-AE21-E0B3CB935FDE}" name="9c"/>
    <tableColumn id="37" xr3:uid="{2CF82D92-A2A4-4D13-B637-A08FD0FED4A3}" name="9d"/>
    <tableColumn id="38" xr3:uid="{B8074F99-DD44-44F1-9C7B-7B1188A417D4}" name="9e"/>
    <tableColumn id="39" xr3:uid="{5A93CB80-047D-4EBD-9C97-D589A247FC88}" name="10e">
      <calculatedColumnFormula>COUNTIF(D2:AL2,"oui")</calculatedColumnFormula>
    </tableColumn>
    <tableColumn id="40" xr3:uid="{4E28CC15-9E6B-4908-A98A-2EBB8E9F6E58}" name="Identité et image de soi"/>
    <tableColumn id="41" xr3:uid="{8EE4F3D3-6524-4F97-949D-4E03F8FF54EF}" name="Confiance en soi"/>
    <tableColumn id="42" xr3:uid="{A00983EA-BC6C-4589-B4EF-3FAA3FDD9DD0}" name="Gestion émotionnelle"/>
    <tableColumn id="43" xr3:uid="{BBDCC0D7-4CBB-46CC-8C93-92340B6B2CB7}" name="Motivation et engagement personnel"/>
    <tableColumn id="44" xr3:uid="{C5ABE00E-B7CE-4FBC-BBF1-18B37F962D85}" name="Communication orale"/>
    <tableColumn id="45" xr3:uid="{6E0AFB22-EDAF-4D2F-9B7B-FF47C22F9CF4}" name="Écoute et compréhension"/>
    <tableColumn id="46" xr3:uid="{48E8B158-4434-4C12-91E1-CBD5C3EE7900}" name="Communication écrite"/>
    <tableColumn id="47" xr3:uid="{F6F6B52D-FE85-4737-863B-FFF2C908A329}" name="Communication professionnelle"/>
    <tableColumn id="48" xr3:uid="{23365A2C-9254-484B-A37B-7994F68D6CAB}" name="Vie de groupe"/>
    <tableColumn id="49" xr3:uid="{35449157-2D16-4FCC-B139-22DDF47FE8EC}" name="Coopération"/>
    <tableColumn id="50" xr3:uid="{044A548F-5839-44DE-B275-DFC63575D435}" name="Gestion des relations"/>
    <tableColumn id="51" xr3:uid="{941BB56F-CD19-465E-A85A-E2B9AD2B1D84}" name="Citoyenneté"/>
    <tableColumn id="52" xr3:uid="{E60DFE6F-6D10-476E-A231-6FF9ACAB0252}" name="Méthodes d’apprentissage"/>
    <tableColumn id="53" xr3:uid="{8C1D5A4C-D472-45A8-98C7-FA5DE9421D14}" name="Compétences de base"/>
    <tableColumn id="54" xr3:uid="{B5CB910B-7D30-43EF-8FA7-A728ABAE5C2D}" name="Organisation personnelle"/>
    <tableColumn id="55" xr3:uid="{3C8702ED-B160-4A63-BEEE-1AC9F8C5EA0A}" name="Autonomie dans les démarches"/>
    <tableColumn id="56" xr3:uid="{363812C2-CF9C-4AF1-8C0B-66014344185D}" name="Découverte des métiers"/>
    <tableColumn id="57" xr3:uid="{83DE0F0C-7DA8-4CF1-92CE-3442FF9F461D}" name="Fonctionnement des organisations"/>
    <tableColumn id="58" xr3:uid="{ED261693-6995-4677-9A76-A60D3AA7AC17}" name="Codes professionnels"/>
    <tableColumn id="59" xr3:uid="{B61F37CA-CEB1-42C4-818D-219F8D696432}" name="Expérience en entreprise"/>
    <tableColumn id="60" xr3:uid="{A3AECA00-55B1-4E89-BC56-F235BF7A7CE0}" name="Environnement socio-économique"/>
    <tableColumn id="61" xr3:uid="{E06D828D-FAC1-4D64-8163-187BB88814DA}" name="Exploration"/>
    <tableColumn id="62" xr3:uid="{12AEA075-C62C-48AC-AC0C-61986E84384B}" name="Choix et décision"/>
    <tableColumn id="63" xr3:uid="{FFD6803C-8CC8-48D2-89FF-3A52492D60F8}" name="Élaboration du projet"/>
    <tableColumn id="64" xr3:uid="{7C81FA14-7A22-4113-96E6-40A08417AE5C}" name="Recherche de stage, d’emploi ou de formation"/>
    <tableColumn id="65" xr3:uid="{C6186B06-20C1-4AB6-A7DA-C03ED9F88F1E}" name="Sécurisation du parcours"/>
    <tableColumn id="66" xr3:uid="{18BFA391-9D34-4504-B55C-0058101DC1C1}" name="Initiative"/>
    <tableColumn id="67" xr3:uid="{E4301392-B3DF-4399-8DE6-4C90C43B9EDA}" name="Responsabilisation"/>
    <tableColumn id="68" xr3:uid="{98FBFE8B-FAAA-4715-8D5C-3313B856EEE9}" name="Gestion des freins"/>
    <tableColumn id="69" xr3:uid="{67DC4DC8-DC60-4658-84F5-B4AA55B1EBBF}" name="Persévérance"/>
    <tableColumn id="70" xr3:uid="{15AC0F39-8C5A-497E-813F-FAA0E557D516}" name="Mobilisation des ressources"/>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4BE3874-34DB-4E1D-BFCF-256E6B1B97B1}" name="Tableau46" displayName="Tableau46" ref="A1:BR29" totalsRowShown="0" headerRowDxfId="5">
  <autoFilter ref="A1:BR29" xr:uid="{64BE3874-34DB-4E1D-BFCF-256E6B1B97B1}"/>
  <tableColumns count="70">
    <tableColumn id="1" xr3:uid="{BA7F1091-416B-42D2-8F69-C1FF80C34938}" name="Séances" dataDxfId="4"/>
    <tableColumn id="2" xr3:uid="{7300424C-AC41-4A04-AB84-785E96EA3675}" name="ok up2c" dataDxfId="3"/>
    <tableColumn id="3" xr3:uid="{79E6C8AF-6C77-48C3-BAB4-D0D96BD221D4}" name="Count">
      <calculatedColumnFormula>AM2</calculatedColumnFormula>
    </tableColumn>
    <tableColumn id="4" xr3:uid="{223061D7-68DC-4418-BBCC-BC0C365F357D}" name="1a"/>
    <tableColumn id="5" xr3:uid="{4BAA1F4B-A399-450B-B3D0-C238428B2AAC}" name="1b"/>
    <tableColumn id="6" xr3:uid="{DAEF9ABD-2634-403F-A2DE-E9B2CAD443AE}" name="1c"/>
    <tableColumn id="7" xr3:uid="{736D05C3-CC60-43DE-896B-46BFD665FDFE}" name="1d"/>
    <tableColumn id="8" xr3:uid="{B3B4D052-EAB8-4A56-8706-709E8A191F97}" name="1e"/>
    <tableColumn id="9" xr3:uid="{2E3B2E5D-4B73-4479-B4A7-0B453EBC6625}" name="2a"/>
    <tableColumn id="10" xr3:uid="{DD06E70B-BEDB-4265-9810-34C34FCA65EB}" name="2b"/>
    <tableColumn id="11" xr3:uid="{67B56A03-CD81-49CE-9EB1-93A34AAED75F}" name="2c"/>
    <tableColumn id="12" xr3:uid="{CA3696A5-2686-4E2D-8A57-B0918BC0798A}" name="2d"/>
    <tableColumn id="13" xr3:uid="{538991A2-2D72-41F0-BEAC-69ED045F86DE}" name="3a"/>
    <tableColumn id="14" xr3:uid="{D1A80E42-514B-4582-B08F-4BFC916E2984}" name="3b"/>
    <tableColumn id="15" xr3:uid="{F41EDECF-DCFE-404D-9324-623E605407F9}" name="3c"/>
    <tableColumn id="16" xr3:uid="{DBB65FE0-840B-45B6-8A72-DC430E073537}" name="3d"/>
    <tableColumn id="17" xr3:uid="{F6D66A85-3C1D-4F30-B022-7E1E097BA5F8}" name="3e"/>
    <tableColumn id="18" xr3:uid="{7DA2A192-EC30-40A8-B1A5-26C0F1911983}" name="4a"/>
    <tableColumn id="19" xr3:uid="{F6B5697B-4620-4B00-9437-EA1ED3FAB001}" name="4b"/>
    <tableColumn id="20" xr3:uid="{BB776B06-B21B-43BD-87D6-3E91C6782503}" name="4c"/>
    <tableColumn id="21" xr3:uid="{98DE3DBB-9D1C-47BF-824D-3020F6ED71F3}" name="5a"/>
    <tableColumn id="22" xr3:uid="{76F47AD5-77A2-4562-820F-E4CF43CF3B77}" name="5b"/>
    <tableColumn id="23" xr3:uid="{14AEACFB-D6F2-4D27-B12B-CE089373ADE5}" name="5c"/>
    <tableColumn id="24" xr3:uid="{6716FA56-76F8-446A-9229-AA1476BE3515}" name="6a"/>
    <tableColumn id="25" xr3:uid="{A90C30ED-101D-446D-9139-CA04AAEA8D27}" name="6b"/>
    <tableColumn id="26" xr3:uid="{07AC5A17-4EEB-422F-BE8E-E2BD3A122E4A}" name="6c"/>
    <tableColumn id="27" xr3:uid="{2106DC31-1547-4D40-AEFF-45B7A3527FFE}" name="7a"/>
    <tableColumn id="28" xr3:uid="{80D6C0FF-A528-4BD0-B11D-3ECCCC22EE05}" name="7b"/>
    <tableColumn id="29" xr3:uid="{AEC1C65C-0E96-4C23-A3A1-B28D651D1243}" name="7c"/>
    <tableColumn id="30" xr3:uid="{DDF0D820-05A7-4449-9EA7-369BA3223B84}" name="7d"/>
    <tableColumn id="31" xr3:uid="{F53BD2F8-5A2D-4D2D-992A-1021FADD61F0}" name="8a"/>
    <tableColumn id="32" xr3:uid="{AEF5572C-E774-4BA0-8B2A-29A79AFD2C2D}" name="8b"/>
    <tableColumn id="33" xr3:uid="{BC67097A-0D2E-4BFD-910F-AC81D33B1697}" name="8c"/>
    <tableColumn id="34" xr3:uid="{3C83D022-9F6D-4B14-A50E-52F0ABEF310C}" name="9a"/>
    <tableColumn id="35" xr3:uid="{D6792253-E3BC-4244-BCA0-4FA84D88E22C}" name="9b"/>
    <tableColumn id="36" xr3:uid="{71E9F4D3-AF3B-4BB6-A028-28FDFE11C4FF}" name="9c"/>
    <tableColumn id="37" xr3:uid="{059FA3E3-0F4C-4FB3-AE59-99A6302C1E4B}" name="9d"/>
    <tableColumn id="38" xr3:uid="{4103C2D8-EC46-46CB-8D11-8DB0D4A7BD49}" name="9e"/>
    <tableColumn id="39" xr3:uid="{2EB66E46-1D1F-4843-BEDE-539D9950DCAC}" name="count2">
      <calculatedColumnFormula>COUNTIF(D2:AL2,"oui")</calculatedColumnFormula>
    </tableColumn>
    <tableColumn id="40" xr3:uid="{53B69F3C-94FB-40F5-A137-F3674F94A217}" name="Identité et image de soi"/>
    <tableColumn id="41" xr3:uid="{133A41C1-AC15-46B1-9E3C-5577DFDA066B}" name="Confiance en soi"/>
    <tableColumn id="42" xr3:uid="{483416F5-6C44-4021-945F-34D4A7F4BDEC}" name="Gestion émotionnelle"/>
    <tableColumn id="43" xr3:uid="{B8842620-7A34-4870-B03F-2EE7206D8279}" name="Motivation et engagement personnel"/>
    <tableColumn id="44" xr3:uid="{DB2FBEDD-6A07-49F6-A915-E9F0ACF64E29}" name="Communication orale"/>
    <tableColumn id="45" xr3:uid="{4A50D418-D4E2-4B53-AA70-0C0C8DD7FD29}" name="Écoute et compréhension"/>
    <tableColumn id="46" xr3:uid="{F61D341B-2F1A-4AAD-8D77-23AF035CC9B9}" name="Communication écrite"/>
    <tableColumn id="47" xr3:uid="{81814F7C-38C8-4CEC-ABA5-6B8962835A15}" name="Communication professionnelle"/>
    <tableColumn id="48" xr3:uid="{B448643A-9211-4788-8F9B-C250C9A0C5B4}" name="Vie de groupe"/>
    <tableColumn id="49" xr3:uid="{FD1F9A55-A99D-4BF4-8991-DCA149483FCC}" name="Coopération"/>
    <tableColumn id="50" xr3:uid="{CA005FA8-EBC8-4B7D-99B9-10370659D8B5}" name="Gestion des relations"/>
    <tableColumn id="51" xr3:uid="{97D04604-5B42-48C8-B7CC-644BA64CD351}" name="Citoyenneté"/>
    <tableColumn id="52" xr3:uid="{5229EF6E-8C65-434B-8946-448B33C27053}" name="Méthodes d’apprentissage"/>
    <tableColumn id="53" xr3:uid="{061EC823-94CC-4DEE-9CBA-AA3D14DE96A6}" name="Compétences de base"/>
    <tableColumn id="54" xr3:uid="{C44A5FE1-E11C-48CF-A8F5-6DB2E812D5AD}" name="Organisation personnelle"/>
    <tableColumn id="55" xr3:uid="{34393969-A793-4A59-BF0F-BBCA4551568C}" name="Autonomie dans les démarches"/>
    <tableColumn id="56" xr3:uid="{11DEE029-DC6B-41E7-A22A-B897786C2786}" name="Découverte des métiers"/>
    <tableColumn id="57" xr3:uid="{549873E7-E956-4BD5-9153-1B0F63E0E86F}" name="Fonctionnement des organisations"/>
    <tableColumn id="58" xr3:uid="{77D3B605-A7FE-4785-8714-07818D34A0D1}" name="Codes professionnels"/>
    <tableColumn id="59" xr3:uid="{F6C35578-4C8C-4358-BCF5-1F77DF64F280}" name="Expérience en entreprise"/>
    <tableColumn id="60" xr3:uid="{B2AE3560-8F49-4D57-BE72-F9717BD0AA64}" name="Environnement socio-économique"/>
    <tableColumn id="61" xr3:uid="{AC4C5CB9-8574-4F3B-B635-A6BCA0594217}" name="Exploration"/>
    <tableColumn id="62" xr3:uid="{53C4DA15-24B9-4616-AAF3-CA82361EC530}" name="Choix et décision"/>
    <tableColumn id="63" xr3:uid="{7DA26CBC-6093-4065-8D9A-B26E38F59FCA}" name="Élaboration du projet"/>
    <tableColumn id="64" xr3:uid="{B622A0CE-A2F0-4228-9ECD-267AC8D26FB1}" name="Recherche de stage, d’emploi ou de formation"/>
    <tableColumn id="65" xr3:uid="{D4E0D57C-ACB9-49CF-B849-5C5E56CD98E4}" name="Sécurisation du parcours"/>
    <tableColumn id="66" xr3:uid="{CCBA3350-F02A-4E07-9219-FFA6833CE59A}" name="Initiative"/>
    <tableColumn id="67" xr3:uid="{882501D4-2177-4C46-8FEF-96A399EBA4FC}" name="Responsabilisation"/>
    <tableColumn id="68" xr3:uid="{86F33E76-5FAD-4558-A687-B56819BF9FF4}" name="Gestion des freins"/>
    <tableColumn id="69" xr3:uid="{09E36D09-D1A2-4107-9D88-8BB9D1F53C34}" name="Persévérance"/>
    <tableColumn id="70" xr3:uid="{7E7E0F65-E5CD-4507-9184-01932AEB6FFE}" name="Mobilisation des ressources"/>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31C36C-B105-4234-86C7-534AD380724D}" name="Tableau2" displayName="Tableau2" ref="A1:BR21" totalsRowShown="0" headerRowDxfId="2">
  <autoFilter ref="A1:BR21" xr:uid="{D731C36C-B105-4234-86C7-534AD380724D}"/>
  <tableColumns count="70">
    <tableColumn id="2" xr3:uid="{8A2BF521-AC00-4C7F-8CD6-226AAC64FA9F}" name="Séances" dataDxfId="1"/>
    <tableColumn id="3" xr3:uid="{DEA8DD67-94C4-4400-A5DB-6DBB7D23C898}" name="ok up2c" dataDxfId="0"/>
    <tableColumn id="4" xr3:uid="{82B5792E-111E-4C79-B242-7618A5F20D38}" name="Count"/>
    <tableColumn id="5" xr3:uid="{54121D79-0FD5-410C-B931-0A30F967C35D}" name="1a"/>
    <tableColumn id="6" xr3:uid="{BF8F0062-A1A3-4563-8D89-DE8A096DD3CD}" name="1b"/>
    <tableColumn id="7" xr3:uid="{03A5DBF0-B26E-4BD3-899E-513DE2EE3B30}" name="1c"/>
    <tableColumn id="8" xr3:uid="{292029FF-41DE-43C1-845C-D2E5D3DEEAA4}" name="1d"/>
    <tableColumn id="9" xr3:uid="{2FB39786-DCF9-407B-AF68-F6B2FF9FE326}" name="1e"/>
    <tableColumn id="10" xr3:uid="{990FD343-3B1E-4E82-9FD4-BF418B5296F0}" name="2a"/>
    <tableColumn id="11" xr3:uid="{EA14B34F-E2E2-493A-8152-83F78BA1B066}" name="2b"/>
    <tableColumn id="12" xr3:uid="{8DB7BD62-6F2C-4124-AA6F-E816E530EFFA}" name="2c"/>
    <tableColumn id="13" xr3:uid="{98092B8C-F9AB-4B61-8A44-133F949B9068}" name="2d"/>
    <tableColumn id="14" xr3:uid="{E70BE768-F8CB-410F-89D8-219517DC25F1}" name="3a"/>
    <tableColumn id="15" xr3:uid="{91FC1430-DA11-41C0-A4DA-372A3D60DB31}" name="3b"/>
    <tableColumn id="16" xr3:uid="{38279D4B-274E-4A5B-84D2-ACCC467F526F}" name="3c"/>
    <tableColumn id="17" xr3:uid="{8EE28385-DFF6-4B76-BE9F-9A31941D9291}" name="3d"/>
    <tableColumn id="18" xr3:uid="{80F11E76-52A2-4918-9FDF-DB9A7B05781A}" name="3e"/>
    <tableColumn id="19" xr3:uid="{A4918DDD-55D2-422F-ABFC-91D478458B8B}" name="4a"/>
    <tableColumn id="20" xr3:uid="{EF907548-79F9-4D81-BFE1-1D1A40F76BA1}" name="4b"/>
    <tableColumn id="21" xr3:uid="{1AFC5112-4155-4373-8905-2F66E4832BAD}" name="4c"/>
    <tableColumn id="22" xr3:uid="{4563FE6A-3A01-4552-8491-505804546420}" name="5a"/>
    <tableColumn id="23" xr3:uid="{0200FEC5-61F1-48F3-B088-B02BAFC5E261}" name="5b"/>
    <tableColumn id="24" xr3:uid="{7BC28841-4C59-43E7-ACD5-D0A0C7786D70}" name="5c"/>
    <tableColumn id="25" xr3:uid="{8AC43E0D-ED8F-48F6-B6F2-773BF7FB5311}" name="6a"/>
    <tableColumn id="26" xr3:uid="{446878BD-99DE-440D-B997-618FF397F6EA}" name="6b"/>
    <tableColumn id="27" xr3:uid="{9688D8FB-D5B9-4472-A97E-D9ED931CF9C6}" name="6c"/>
    <tableColumn id="28" xr3:uid="{D380EB0C-C84C-494C-8062-AD9344176C97}" name="7a"/>
    <tableColumn id="29" xr3:uid="{A7FEE6D4-6110-4ED0-AB2D-DA7C43327DB0}" name="7b"/>
    <tableColumn id="30" xr3:uid="{1CD8E7EB-0F35-4596-BB15-0253FA19E787}" name="7c"/>
    <tableColumn id="31" xr3:uid="{0D681721-75DB-4D82-ABB5-3DCFF4AF0829}" name="7d"/>
    <tableColumn id="32" xr3:uid="{EF2B9510-0FF5-4BAD-A888-AE9F5826FC6B}" name="8a"/>
    <tableColumn id="33" xr3:uid="{EE94DE7F-C373-41D0-B885-E84B00F8BCF4}" name="8b"/>
    <tableColumn id="34" xr3:uid="{08D23FE0-617B-4B38-B630-7A75E07AF675}" name="8c"/>
    <tableColumn id="35" xr3:uid="{B48D3881-82DC-49BD-985E-ECFDBD62C80F}" name="9a"/>
    <tableColumn id="36" xr3:uid="{B9887BE8-7427-4505-BCDD-32E7C147FA85}" name="9b"/>
    <tableColumn id="37" xr3:uid="{6598A2FB-E2B4-4BA5-8285-F6E5254F8001}" name="9c"/>
    <tableColumn id="38" xr3:uid="{F337106B-A053-4CBF-874D-04D85903439D}" name="9d"/>
    <tableColumn id="39" xr3:uid="{75DAB9AF-9B0B-4CEB-8081-9E5BD8F959F3}" name="9e"/>
    <tableColumn id="1" xr3:uid="{0BAC8FC5-1288-4495-86DB-AD90A1E28E41}" name="10e">
      <calculatedColumnFormula>COUNTIF(D2:AL2,"oui")</calculatedColumnFormula>
    </tableColumn>
    <tableColumn id="40" xr3:uid="{9B759E40-0098-403A-AEED-22FBFCE5D12B}" name="Identité et image de soi"/>
    <tableColumn id="41" xr3:uid="{3DB9DD83-FDE8-4B53-804E-3F2F5A2CE019}" name="Confiance en soi"/>
    <tableColumn id="42" xr3:uid="{C62E40D9-2493-4437-A361-EFD601546B55}" name="Gestion émotionnelle"/>
    <tableColumn id="43" xr3:uid="{86445B9E-8939-4537-BB84-29149E32220B}" name="Motivation et engagement personnel"/>
    <tableColumn id="44" xr3:uid="{53F21D80-9E4C-4124-8C9D-E2A5902E053E}" name="Communication orale"/>
    <tableColumn id="45" xr3:uid="{31B96B58-1993-4701-BBCB-BE1ACF6A10DE}" name="Écoute et compréhension"/>
    <tableColumn id="46" xr3:uid="{35FAB718-C2A5-4F41-AEFE-D2E1119C1FDF}" name="Communication écrite"/>
    <tableColumn id="47" xr3:uid="{70D8CB91-3337-45FB-A478-D07D5DD34626}" name="Communication professionnelle"/>
    <tableColumn id="48" xr3:uid="{E4486C86-127D-4B26-ABAD-F17521A3F1AE}" name="Vie de groupe"/>
    <tableColumn id="49" xr3:uid="{2BC658AF-6BFA-416E-A5E6-A20031FCA3A4}" name="Coopération"/>
    <tableColumn id="50" xr3:uid="{C6BDD3AE-B81C-4B58-AA54-97AC106DB254}" name="Gestion des relations"/>
    <tableColumn id="51" xr3:uid="{92298D17-B8EC-44D4-A189-3071F5986AAB}" name="Citoyenneté"/>
    <tableColumn id="52" xr3:uid="{CF9B7C44-721D-4B7C-857D-4FAC141BB1EE}" name="Méthodes d’apprentissage"/>
    <tableColumn id="53" xr3:uid="{8E5AF410-18A9-426E-A1F7-7874F5B60140}" name="Compétences de base"/>
    <tableColumn id="54" xr3:uid="{922A7EAE-2EBF-4E47-AE66-248BB891173D}" name="Organisation personnelle"/>
    <tableColumn id="55" xr3:uid="{BE1F0F48-AFFD-4124-AE99-8693FB6AF168}" name="Autonomie dans les démarches"/>
    <tableColumn id="56" xr3:uid="{2763D26C-8E0F-445C-8FCE-AF8B0C20CC1F}" name="Découverte des métiers"/>
    <tableColumn id="57" xr3:uid="{CA26E6E1-14F6-42A1-A6C8-E70FF05DF01B}" name="Fonctionnement des organisations"/>
    <tableColumn id="58" xr3:uid="{43CE1263-BFE2-4E82-9DF8-3EF19A0742C4}" name="Codes professionnels"/>
    <tableColumn id="59" xr3:uid="{E24B37C3-9A75-44B3-B77A-6FB29945139C}" name="Expérience en entreprise"/>
    <tableColumn id="60" xr3:uid="{638CEE75-7567-42D3-A876-85051F6A927E}" name="Environnement socio-économique"/>
    <tableColumn id="61" xr3:uid="{2A3EAAB9-07B6-4B4E-99A3-2E63261284F3}" name="Exploration"/>
    <tableColumn id="62" xr3:uid="{A63C0B57-6F24-4876-A904-12963BA8482B}" name="Choix et décision"/>
    <tableColumn id="63" xr3:uid="{85F40715-580F-400E-AB81-83F3CB2083EF}" name="Élaboration du projet"/>
    <tableColumn id="64" xr3:uid="{F1E0F6AB-BF9A-4BF9-8A52-58359EBE5512}" name="Recherche de stage, d’emploi ou de formation"/>
    <tableColumn id="65" xr3:uid="{718415FD-572E-4BDB-828E-56F03541F640}" name="Sécurisation du parcours"/>
    <tableColumn id="66" xr3:uid="{5B2DF103-B5C3-4BA9-BEA2-73129E40DA9B}" name="Initiative"/>
    <tableColumn id="67" xr3:uid="{108D1855-AFEC-4902-AEC3-8E72C037C5B1}" name="Responsabilisation"/>
    <tableColumn id="68" xr3:uid="{B9DC318E-9F5B-4A1B-B790-75215C74618C}" name="Gestion des freins"/>
    <tableColumn id="69" xr3:uid="{90580F25-E280-4892-9E25-56EA74DEEF0D}" name="Persévérance"/>
    <tableColumn id="70" xr3:uid="{01B7167B-CEDA-4837-AFDF-D84E5BD37ECD}" name="Mobilisation des ressources"/>
  </tableColumns>
  <tableStyleInfo name="TableStyleLight2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9" dT="2025-10-20T14:12:22.01" personId="{A02A6012-EC96-4E8F-B05A-EF38BB50C291}" id="{62A41FAD-34B5-4FB5-B4B3-73D5F86DC984}">
    <text xml:space="preserve">Je modifierai 3 séances : 
Brise glace : 5a
Stage ready : 7a
Portrait en image : 6c (à la place du 5c) 
Vous en pensez quoi?
</text>
  </threadedComment>
  <threadedComment ref="A19" dT="2025-10-20T14:36:15.59" personId="{A02A6012-EC96-4E8F-B05A-EF38BB50C291}" id="{A94717DC-6E30-46CD-AC69-D063983A15C5}" parentId="{62A41FAD-34B5-4FB5-B4B3-73D5F86DC984}">
    <text>un stage pourquoi comment, 4a</text>
  </threadedComment>
  <threadedComment ref="A19" dT="2025-10-20T14:37:05.72" personId="{A02A6012-EC96-4E8F-B05A-EF38BB50C291}" id="{5EF55D1E-BB84-4793-8345-D58C36A068C1}" parentId="{62A41FAD-34B5-4FB5-B4B3-73D5F86DC984}">
    <text>à la place du 6a</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e2cgrandlille.sharepoint.com/:f:/s/E2CRessourcesPdagogiques/IgBior-kq5NVRqIjppU9uu6IAbwMSp3aEUbcMCvc9zdBiSs?e=LrWLxJ" TargetMode="External"/><Relationship Id="rId21" Type="http://schemas.openxmlformats.org/officeDocument/2006/relationships/hyperlink" Target="https://e2cgrandlille.sharepoint.com/:w:/s/E2CRessourcesPdagogiques/IQA4Ul-X7RQtRLQVai5-zQTWAV1vEAaSK_IgMKlJS8SkqDo?e=JVwRxT" TargetMode="External"/><Relationship Id="rId42" Type="http://schemas.openxmlformats.org/officeDocument/2006/relationships/hyperlink" Target="https://e2cgrandlille.sharepoint.com/:b:/s/E2CRessourcesPdagogiques/IQCIvBeTyWc2R58NPzacu1LyAbILaADwwkhS0so3cJHIfhg?e=eEbEJG" TargetMode="External"/><Relationship Id="rId63" Type="http://schemas.openxmlformats.org/officeDocument/2006/relationships/hyperlink" Target="https://e2cgrandlille.sharepoint.com/:w:/r/sites/E2CRessourcesPdagogiques/_layouts/15/Doc.aspx?sourcedoc=%7BF4C6DE7E-B035-49A2-94CC-B93D9731DFC0%7D&amp;file=DF%20-%20Mini%20EP3A.docx&amp;action=default&amp;mobileredirect=true" TargetMode="External"/><Relationship Id="rId84" Type="http://schemas.openxmlformats.org/officeDocument/2006/relationships/hyperlink" Target="https://e2cgrandlille.sharepoint.com/:b:/s/E2CRessourcesPdagogiques/IQBbC_Cj9aKRS5QcSm5aDZFGAbm8jcQlpbC8F_QvidJC7X4?e=2LsCvX" TargetMode="External"/><Relationship Id="rId138" Type="http://schemas.openxmlformats.org/officeDocument/2006/relationships/hyperlink" Target="https://e2cgrandlille.sharepoint.com/:f:/s/E2CRessourcesPdagogiques/IgD9BCEe5du1QrAPyRyGUx1wAfhT9l086Vcokqx_DyoEw8s?e=hcLFtH" TargetMode="External"/><Relationship Id="rId159" Type="http://schemas.openxmlformats.org/officeDocument/2006/relationships/hyperlink" Target="https://e2cgrandlille.sharepoint.com/:f:/s/E2CRessourcesPdagogiques/IgB6_NcNrcLJR5vqiGXYYpibAVGSfV0gXY4-Lr2ZSur7FwM?e=sOiwwI" TargetMode="External"/><Relationship Id="rId170" Type="http://schemas.openxmlformats.org/officeDocument/2006/relationships/hyperlink" Target="https://e2cgrandlille.sharepoint.com/:p:/s/E2CRessourcesPdagogiques/IQDUi9L2TKY8SKyHN7lgUXwqASE1cBxpJhFJqVEzpVrgLMM?download=1" TargetMode="External"/><Relationship Id="rId107" Type="http://schemas.openxmlformats.org/officeDocument/2006/relationships/hyperlink" Target="https://e2cgrandlille.sharepoint.com/:w:/s/E2CRessourcesPdagogiques/IQBwmcMesdcLRZ9CbfXcIQe5AQfE0GZxYakqp_072_qWfrY?download=1" TargetMode="External"/><Relationship Id="rId11" Type="http://schemas.openxmlformats.org/officeDocument/2006/relationships/hyperlink" Target="https://e2cgrandlille.sharepoint.com/:f:/s/E2CRessourcesPdagogiques/EmYKXt5gbC9JkBpfywisl2cB97rxrS632Cj7ZDkm91aNCQ?e=Qyre4D" TargetMode="External"/><Relationship Id="rId32" Type="http://schemas.openxmlformats.org/officeDocument/2006/relationships/hyperlink" Target="https://e2cgrandlille.sharepoint.com/:b:/s/E2CRessourcesPdagogiques/IQDwMd8nzsP8QJ96fhoJyJKQAZl5YqiasbNOGAq6fF-nQdw?e=camb5R" TargetMode="External"/><Relationship Id="rId53" Type="http://schemas.openxmlformats.org/officeDocument/2006/relationships/hyperlink" Target="https://e2cgrandlille.sharepoint.com/:b:/s/E2CRessourcesPdagogiques/IQBUhTO4uOvlRLsB7TzKGH4_AQjZ7kaNwjYvFVt_y0n5FNs?e=fENwP9" TargetMode="External"/><Relationship Id="rId74" Type="http://schemas.openxmlformats.org/officeDocument/2006/relationships/hyperlink" Target="https://e2cgrandlille.sharepoint.com/:w:/s/E2CRessourcesPdagogiques/IQCoTRfXn1e7Q7JdYdgeaeCVAeLdOSCXNMvPGHjfaBBalpI?e=4YkQyZ" TargetMode="External"/><Relationship Id="rId128" Type="http://schemas.openxmlformats.org/officeDocument/2006/relationships/hyperlink" Target="https://e2cgrandlille.sharepoint.com/:f:/s/E2CRessourcesPdagogiques/IgD8XlB0hwIPQ5l4I6Oxfr3rAZphLVI4BTJIn4iBSM_iHys?e=aTwKZx" TargetMode="External"/><Relationship Id="rId149" Type="http://schemas.openxmlformats.org/officeDocument/2006/relationships/hyperlink" Target="https://e2cgrandlille.sharepoint.com/:b:/s/E2CRessourcesPdagogiques/IQBg3e4M1wi8QJsgln9yD6ETAdQssSjYpPWm35ca_DMMau0?e=MIwjjI" TargetMode="External"/><Relationship Id="rId5" Type="http://schemas.openxmlformats.org/officeDocument/2006/relationships/hyperlink" Target="https://e2cgrandlille.sharepoint.com/:w:/s/E2CProcedures/ERm6YB7OyNVMrlRDpD1pchwB30KJDFMwP0zUFJ-3jpP6rg?e=9xa0zE" TargetMode="External"/><Relationship Id="rId95" Type="http://schemas.openxmlformats.org/officeDocument/2006/relationships/hyperlink" Target="https://e2cgrandlille.sharepoint.com/:f:/s/E2CRessourcesPdagogiques/IgBS3yLgREo4TKo0eJVGstJxAYmsPwY4pupQOG7xQ8_4z9w?e=AijXHi" TargetMode="External"/><Relationship Id="rId160" Type="http://schemas.openxmlformats.org/officeDocument/2006/relationships/hyperlink" Target="https://e2cgrandlille.sharepoint.com/:w:/s/E2CRessourcesPdagogiques/IQCLz_qpn4SWTKj6reuMWUMwAeGVFDrkhp97hpnr_W67fAc?download=1" TargetMode="External"/><Relationship Id="rId22" Type="http://schemas.openxmlformats.org/officeDocument/2006/relationships/hyperlink" Target="https://e2cgrandlille.sharepoint.com/:x:/s/e2cdocumentscommuns/IQCNFFeBv85WSJyFjWGoonDuAcUX0QmOJfjuvmkvg-LYarQ?e=ERWegR" TargetMode="External"/><Relationship Id="rId43" Type="http://schemas.openxmlformats.org/officeDocument/2006/relationships/hyperlink" Target="https://e2cgrandlille.sharepoint.com/:b:/s/E2CRessourcesPdagogiques/IQA4yMFXtrJMTK6YwDNFNTNPAT6oASX7dWpyIV8_FQk_YRo?e=hNLWhM" TargetMode="External"/><Relationship Id="rId64" Type="http://schemas.openxmlformats.org/officeDocument/2006/relationships/hyperlink" Target="https://e2cgrandlille.sharepoint.com/:w:/s/E2CRessourcesPdagogiques/IQDVGn8rjLC4SI7NOrzUurS9AUzCJg8drUvc8YBXDcrcCng?e=XmphuW" TargetMode="External"/><Relationship Id="rId118" Type="http://schemas.openxmlformats.org/officeDocument/2006/relationships/hyperlink" Target="https://e2cgrandlille.sharepoint.com/:b:/s/E2CRessourcesPdagogiques/IQDYVVqVTM2wTbiVhvE74Z3dAY-XdpdjvSXLFw1ALz6xRDs?download=1" TargetMode="External"/><Relationship Id="rId139" Type="http://schemas.openxmlformats.org/officeDocument/2006/relationships/hyperlink" Target="https://e2cgrandlille.sharepoint.com/:w:/s/E2CRessourcesPdagogiques/IQCh4FlIkViNQLkMfHog-KzvAe-a6LFvh1vQyXzfHetXa_w?download=1" TargetMode="External"/><Relationship Id="rId85" Type="http://schemas.openxmlformats.org/officeDocument/2006/relationships/hyperlink" Target="https://e2cgrandlille.sharepoint.com/:b:/s/E2CRessourcesPdagogiques/IQABJzDovdwXTJo0BM0W_auiAdwQdGsqolQggZnbFdcIUeM?e=MNBpqH" TargetMode="External"/><Relationship Id="rId150" Type="http://schemas.openxmlformats.org/officeDocument/2006/relationships/hyperlink" Target="https://e2cgrandlille.sharepoint.com/:b:/s/E2CRessourcesPdagogiques/IQBg3e4M1wi8QJsgln9yD6ETAdQssSjYpPWm35ca_DMMau0?e=MIwjjI" TargetMode="External"/><Relationship Id="rId171" Type="http://schemas.openxmlformats.org/officeDocument/2006/relationships/hyperlink" Target="https://e2cgrandlille.sharepoint.com/:f:/s/E2CRessourcesPdagogiques/IgDJmg646jERQbZH1plYjvKKAe_bIAB24S19BSAQ_mglyGA?e=rcrnEl" TargetMode="External"/><Relationship Id="rId12" Type="http://schemas.openxmlformats.org/officeDocument/2006/relationships/hyperlink" Target="https://e2cgrandlille.sharepoint.com/:f:/s/E2CRessourcesPdagogiques/Eit6_q5rEv1El7S1sjkVh0MBw9oc-Mgtu_tpRATbahgfaw?e=ck1iRe" TargetMode="External"/><Relationship Id="rId33" Type="http://schemas.openxmlformats.org/officeDocument/2006/relationships/hyperlink" Target="https://e2cgrandlille.sharepoint.com/:b:/s/E2CRessourcesPdagogiques/IQAr0VvrnySdT4M9C38MKVxJAXBaZdB4eUr1OCHc1THGHl4?e=Jy7VyV" TargetMode="External"/><Relationship Id="rId108" Type="http://schemas.openxmlformats.org/officeDocument/2006/relationships/hyperlink" Target="https://e2cgrandlille.sharepoint.com/:x:/s/e2cdocumentscommuns/IQCNFFeBv85WSJyFjWGoonDuAcUX0QmOJfjuvmkvg-LYarQ?download=1" TargetMode="External"/><Relationship Id="rId129" Type="http://schemas.openxmlformats.org/officeDocument/2006/relationships/hyperlink" Target="https://e2cgrandlille.sharepoint.com/:p:/s/E2CRessourcesPdagogiques/IQDb0Y1a38h4Q69yMJoK4iyYAbrc3wxfClI3dhLSnd6vcmU?download=1" TargetMode="External"/><Relationship Id="rId54" Type="http://schemas.openxmlformats.org/officeDocument/2006/relationships/hyperlink" Target="https://e2cgrandlille.sharepoint.com/:b:/s/E2CRessourcesPdagogiques/IQDOsBmgkd2zQJlwznSNMDRlAfG5L4WPKhOCzFZWioKPyGQ?e=GKqVHX" TargetMode="External"/><Relationship Id="rId75" Type="http://schemas.openxmlformats.org/officeDocument/2006/relationships/hyperlink" Target="https://e2cgrandlille.sharepoint.com/:w:/s/E2CRessourcesPdagogiques/IQBmR3DOwT4LRqOnsmwIhOkxAWRUGx7bMacFkHFuXHV8qL8?e=6kS7X5" TargetMode="External"/><Relationship Id="rId96" Type="http://schemas.openxmlformats.org/officeDocument/2006/relationships/hyperlink" Target="https://e2cgrandlille.sharepoint.com/:f:/s/E2CRessourcesPdagogiques/IgBYke7qUNnhTayt6pG1z0N1ATNwI0VlxCoc8wUbLkGZ8IE?e=Pb69SL" TargetMode="External"/><Relationship Id="rId140" Type="http://schemas.openxmlformats.org/officeDocument/2006/relationships/hyperlink" Target="https://e2cgrandlille.sharepoint.com/:x:/s/e2cdocumentscommuns/IQCNFFeBv85WSJyFjWGoonDuAcUX0QmOJfjuvmkvg-LYarQ?e=ERWegR" TargetMode="External"/><Relationship Id="rId161" Type="http://schemas.openxmlformats.org/officeDocument/2006/relationships/hyperlink" Target="https://e2cgrandlille.sharepoint.com/:f:/s/E2CRessourcesPdagogiques/IgBB3NN9OLnRTLhihr2h5MNaAcMiD0PomYFOn7ZgAKfiBKU?e=WoaVvI" TargetMode="External"/><Relationship Id="rId1" Type="http://schemas.openxmlformats.org/officeDocument/2006/relationships/hyperlink" Target="https://e2cgrandlille.sharepoint.com/:w:/r/sites/E2CRessourcesPdagogiques/_layouts/15/Doc.aspx?sourcedoc=%7B3676F58C-C3B4-4CE7-A366-491C6471F0FD%7D&amp;file=LES%20SYRTES.docx&amp;action=default&amp;mobileredirect=true&amp;DefaultItemOpen=1" TargetMode="External"/><Relationship Id="rId6" Type="http://schemas.openxmlformats.org/officeDocument/2006/relationships/hyperlink" Target="https://e2cgrandlille.sharepoint.com/:f:/s/E2CRessourcesPdagogiques/EjSUdgBXSjRMmSEFYkh5JxQBASGg9gV3C62GxAt2f0L5UA?e=Axr3H0" TargetMode="External"/><Relationship Id="rId23" Type="http://schemas.openxmlformats.org/officeDocument/2006/relationships/hyperlink" Target="https://e2cgrandlille.sharepoint.com/:x:/s/e2cdocumentscommuns/IQCNFFeBv85WSJyFjWGoonDuAcUX0QmOJfjuvmkvg-LYarQ?e=ERWegR" TargetMode="External"/><Relationship Id="rId28" Type="http://schemas.openxmlformats.org/officeDocument/2006/relationships/hyperlink" Target="https://e2cgrandlille.sharepoint.com/:f:/s/E2CRessourcesPdagogiques/IgDo9TH3YRraSbuFFirwEqysAR-ecV7YYj-VfPsKJidsasI?e=N3jPk7" TargetMode="External"/><Relationship Id="rId49" Type="http://schemas.openxmlformats.org/officeDocument/2006/relationships/hyperlink" Target="https://e2cgrandlille.sharepoint.com/:b:/s/E2CRessourcesPdagogiques/IQDUC4gl-q-dTbxFn4mBbiGqAUUmRMtnVsAAy4tV4jNS6no?e=Dbq1DA" TargetMode="External"/><Relationship Id="rId114" Type="http://schemas.openxmlformats.org/officeDocument/2006/relationships/hyperlink" Target="https://e2cgrandlille.sharepoint.com/:f:/s/E2CRessourcesPdagogiques/IgBOQwKUnj1CR4gN-B3gvfZRAf3_Ccng6ovbQpNgPOrp2Wo?e=dRWM0N" TargetMode="External"/><Relationship Id="rId119" Type="http://schemas.openxmlformats.org/officeDocument/2006/relationships/hyperlink" Target="https://e2cgrandlille.sharepoint.com/:p:/s/E2CRessourcesPdagogiques/IQCaoqF6YYGRQ7DaIqPTsje1AacOf2lMwJUczQsg5MrZScQ?download=1" TargetMode="External"/><Relationship Id="rId44" Type="http://schemas.openxmlformats.org/officeDocument/2006/relationships/hyperlink" Target="https://e2cgrandlille.sharepoint.com/:w:/s/E2CRessourcesPdagogiques/IQAbFJhpWQMGQZUUU5Ojay1DAYyo7LiO46dwTb81qFVOQpM?e=P1xkty" TargetMode="External"/><Relationship Id="rId60" Type="http://schemas.openxmlformats.org/officeDocument/2006/relationships/hyperlink" Target="https://e2cgrandlille.sharepoint.com/:b:/s/E2CRessourcesPdagogiques/IQADAPz2AHp2T6pINeOlq0KRAUzUgdB4bUyCFvNGSrOTbLg?e=rDV1T2" TargetMode="External"/><Relationship Id="rId65" Type="http://schemas.openxmlformats.org/officeDocument/2006/relationships/hyperlink" Target="https://e2cgrandlille.sharepoint.com/:w:/s/E2CRessourcesPdagogiques/IQDxN9-Yvt3dSY9m8E4LH1IGARHVoNSPSeImEGMysqmbYzk?e=cNCeT7" TargetMode="External"/><Relationship Id="rId81" Type="http://schemas.openxmlformats.org/officeDocument/2006/relationships/hyperlink" Target="https://e2cgrandlille.sharepoint.com/:b:/s/E2CRessourcesPdagogiques/IQDSBjFlo9GaSL3PIHOhrq61AaGVwHjm3MchQbtcHxAzKB0?e=KZzau5" TargetMode="External"/><Relationship Id="rId86" Type="http://schemas.openxmlformats.org/officeDocument/2006/relationships/hyperlink" Target="https://e2cgrandlille.sharepoint.com/:b:/s/E2CRessourcesPdagogiques/IQDLc-WyAJg_Q5xHm_AxdiglAdRCS-LPLw7VjYsOZa0tOGg?e=S8P5Gg" TargetMode="External"/><Relationship Id="rId130" Type="http://schemas.openxmlformats.org/officeDocument/2006/relationships/hyperlink" Target="https://e2cgrandlille.sharepoint.com/:p:/s/E2CRessourcesPdagogiques/IQDb0Y1a38h4Q69yMJoK4iyYAbrc3wxfClI3dhLSnd6vcmU?download=1" TargetMode="External"/><Relationship Id="rId135" Type="http://schemas.openxmlformats.org/officeDocument/2006/relationships/hyperlink" Target="https://e2cgrandlille.sharepoint.com/:b:/s/E2CRessourcesPdagogiques/IQCarMG1TVpEQIMYy1_8fbDdAb1G9Q5KUSIjJC5Gc0wBC3E?download=1" TargetMode="External"/><Relationship Id="rId151" Type="http://schemas.openxmlformats.org/officeDocument/2006/relationships/hyperlink" Target="https://e2cgrandlille.sharepoint.com/:b:/s/E2CRessourcesPdagogiques/IQBg3e4M1wi8QJsgln9yD6ETAdQssSjYpPWm35ca_DMMau0?e=MIwjjI" TargetMode="External"/><Relationship Id="rId156" Type="http://schemas.openxmlformats.org/officeDocument/2006/relationships/hyperlink" Target="https://e2cgrandlille.sharepoint.com/:f:/s/E2CRessourcesPdagogiques/IgANJMc0SLajRp5fHWkxzZTUATZpiU2SXHGO7kuScTvoHBI?e=JgA8HT" TargetMode="External"/><Relationship Id="rId172" Type="http://schemas.openxmlformats.org/officeDocument/2006/relationships/hyperlink" Target="https://e2cgrandlille.sharepoint.com/:f:/s/E2CRessourcesPdagogiques/IgBsToD9TsGBToyo8jVSfM1-AdyAJy8TB1LNQ_wYb81Rnxw?e=rDV8iS" TargetMode="External"/><Relationship Id="rId13" Type="http://schemas.openxmlformats.org/officeDocument/2006/relationships/hyperlink" Target="https://e2cgrandlille.sharepoint.com/:f:/s/E2CRessourcesPdagogiques/ElwGpD59YAhDl0jopbOs5mUBJHeIMsDvEWJAvC_bivoWZw?e=lw561k" TargetMode="External"/><Relationship Id="rId18" Type="http://schemas.openxmlformats.org/officeDocument/2006/relationships/hyperlink" Target="https://e2cgrandlille.sharepoint.com/:f:/s/E2CRessourcesPdagogiques/Ety4obQOghJLjLUOgAd8cmwB57LWxl1EdaDrhhRplCeAWA?e=tEFGZp" TargetMode="External"/><Relationship Id="rId39" Type="http://schemas.openxmlformats.org/officeDocument/2006/relationships/hyperlink" Target="https://e2cgrandlille.sharepoint.com/:b:/s/E2CRessourcesPdagogiques/IQBXcyxO6ETnQ59xZlCAKkulAZN0e8h0FrS4945iZayMuGg?e=9EGfAa" TargetMode="External"/><Relationship Id="rId109" Type="http://schemas.openxmlformats.org/officeDocument/2006/relationships/hyperlink" Target="https://e2cgrandlille.sharepoint.com/:f:/s/E2CRessourcesPdagogiques/IgDAqva7AOSRSZfc6NHEQUtjAWbLix8lkgzZWolCdw_k5FE?e=p3LjiS" TargetMode="External"/><Relationship Id="rId34" Type="http://schemas.openxmlformats.org/officeDocument/2006/relationships/hyperlink" Target="https://e2cgrandlille.sharepoint.com/:b:/s/E2CRessourcesPdagogiques/IQAZiz3qXbXRQJhiR5MEHE6zAZZ_u52kHWom_c1kiMespjM?e=PbyAf4" TargetMode="External"/><Relationship Id="rId50" Type="http://schemas.openxmlformats.org/officeDocument/2006/relationships/hyperlink" Target="https://e2cgrandlille.sharepoint.com/:f:/s/E2CRessourcesPdagogiques/EsqKui_Zu_NNiE0iZQU6TQoBbOmham3zMLOjQ1RMPHFJFg?e=GktKjr" TargetMode="External"/><Relationship Id="rId55" Type="http://schemas.openxmlformats.org/officeDocument/2006/relationships/hyperlink" Target="https://e2cgrandlille.sharepoint.com/:b:/s/E2CRessourcesPdagogiques/IQAGkGVowfcuS5miSSggDHCnAQq5N78RHzozUK6neaNWKoA?e=CUBASh" TargetMode="External"/><Relationship Id="rId76" Type="http://schemas.openxmlformats.org/officeDocument/2006/relationships/hyperlink" Target="https://e2cgrandlille.sharepoint.com/:w:/s/E2CRessourcesPdagogiques/IQA_z9Ve8G8MQLwyaGkvYH4cAepcqaA5uFJE8v4hSFZ5a_c?e=qVy1Rg" TargetMode="External"/><Relationship Id="rId97" Type="http://schemas.openxmlformats.org/officeDocument/2006/relationships/hyperlink" Target="https://e2cgrandlille.sharepoint.com/:w:/s/E2CRessourcesPdagogiques/IQDB9oPjzyqWTIzAlQSo_X1PAatKIlf-aTXX-s_dhR7d84c?download=1" TargetMode="External"/><Relationship Id="rId104" Type="http://schemas.openxmlformats.org/officeDocument/2006/relationships/hyperlink" Target="https://e2cgrandlille.sharepoint.com/:w:/s/E2CRessourcesPdagogiques/IQBjKbQjKscORokSOSB08-zzAar21nBcky5r1oCwqbG7KLk?e=bIy1sp" TargetMode="External"/><Relationship Id="rId120" Type="http://schemas.openxmlformats.org/officeDocument/2006/relationships/hyperlink" Target="https://e2cgrandlille.sharepoint.com/:p:/s/E2CRessourcesPdagogiques/IQCaoqF6YYGRQ7DaIqPTsje1AacOf2lMwJUczQsg5MrZScQ?download=1" TargetMode="External"/><Relationship Id="rId125" Type="http://schemas.openxmlformats.org/officeDocument/2006/relationships/hyperlink" Target="https://e2cgrandlille.sharepoint.com/:x:/s/e2cdocumentscommuns/IQCNFFeBv85WSJyFjWGoonDuAcUX0QmOJfjuvmkvg-LYarQ?download=1" TargetMode="External"/><Relationship Id="rId141" Type="http://schemas.openxmlformats.org/officeDocument/2006/relationships/hyperlink" Target="https://e2cgrandlille.sharepoint.com/:x:/s/e2cdocumentscommuns/IQCNFFeBv85WSJyFjWGoonDuAcUX0QmOJfjuvmkvg-LYarQ?download=1" TargetMode="External"/><Relationship Id="rId146" Type="http://schemas.openxmlformats.org/officeDocument/2006/relationships/hyperlink" Target="https://e2cgrandlille.sharepoint.com/:b:/s/E2CRessourcesPdagogiques/IQBg3e4M1wi8QJsgln9yD6ETAdQssSjYpPWm35ca_DMMau0?e=MIwjjI" TargetMode="External"/><Relationship Id="rId167" Type="http://schemas.openxmlformats.org/officeDocument/2006/relationships/hyperlink" Target="https://e2cgrandlille.sharepoint.com/:f:/s/E2CRessourcesPdagogiques/IgDA0Zza51tuT7X0QCHSAwd3AT24Mf-3gpaeJqCHJTC8yK4?e=OCUrPa" TargetMode="External"/><Relationship Id="rId7" Type="http://schemas.openxmlformats.org/officeDocument/2006/relationships/hyperlink" Target="https://e2cgrandlille.sharepoint.com/:f:/s/E2CRessourcesPdagogiques/EiCB0SoF_nFMqbv0dlhsPPABmiojh04VdRuHPoPswkrFNA?e=JSO0UY" TargetMode="External"/><Relationship Id="rId71" Type="http://schemas.openxmlformats.org/officeDocument/2006/relationships/hyperlink" Target="https://e2cgrandlille.sharepoint.com/:f:/s/E2CRessourcesPdagogiques/IgC5TbjxYDpHRZH_cpzbJYXcAeWJwJXNOCL4V-0aFQCS9AY?e=UaZjI9" TargetMode="External"/><Relationship Id="rId92" Type="http://schemas.openxmlformats.org/officeDocument/2006/relationships/hyperlink" Target="https://e2cgrandlille.sharepoint.com/:b:/s/E2CRessourcesPdagogiques/IQBRDlD_IlziTJlUHthGUBOnAQREQf66xJwzYYIYVVLV0s0?download=1" TargetMode="External"/><Relationship Id="rId162" Type="http://schemas.openxmlformats.org/officeDocument/2006/relationships/hyperlink" Target="https://e2cgrandlille.sharepoint.com/:w:/s/E2CRessourcesPdagogiques/IQDuhjIS2-bBT7HB5RmZ-7TGAQIDmsdO8S2fX20UNM4dSbc?download=1" TargetMode="External"/><Relationship Id="rId2" Type="http://schemas.openxmlformats.org/officeDocument/2006/relationships/hyperlink" Target="https://e2cgrandlille.sharepoint.com/:f:/s/E2CRessourcesPdagogiques/EsddEbO3QLpBrs3zG3vOEicBsRRPzpV9LIIi32gi5WIbvg?e=BxE24Y" TargetMode="External"/><Relationship Id="rId29" Type="http://schemas.openxmlformats.org/officeDocument/2006/relationships/hyperlink" Target="https://e2cgrandlille.sharepoint.com/:b:/s/E2CRessourcesPdagogiques/IQD2CBAWeFIbSL1GBvL8GHvMASM1GAK0z2aslcdc76N1GDM?e=r2DwTj" TargetMode="External"/><Relationship Id="rId24" Type="http://schemas.openxmlformats.org/officeDocument/2006/relationships/hyperlink" Target="https://e2cgrandlille.sharepoint.com/:f:/s/E2CRessourcesPdagogiques/IgArDMQRLhPpRK6hY53BNND6Afd0EGJeGZgDZk4xpSU0Fwo?e=fkzVYa" TargetMode="External"/><Relationship Id="rId40" Type="http://schemas.openxmlformats.org/officeDocument/2006/relationships/hyperlink" Target="https://e2cgrandlille.sharepoint.com/:b:/s/E2CRessourcesPdagogiques/IQAJN1cGp6MhQ7Cm_l1jdgrSAcKpiZ1cE4yxgIo9WiVpfH0?e=sEImWS" TargetMode="External"/><Relationship Id="rId45" Type="http://schemas.openxmlformats.org/officeDocument/2006/relationships/hyperlink" Target="https://e2cgrandlille.sharepoint.com/:w:/s/e2cdocumentscommuns/IQCC5NjoX8EeQLYwOAB_4iTiAX9cZ0gUIXSiz1Oeq3aAsRI?e=kPpFFY" TargetMode="External"/><Relationship Id="rId66" Type="http://schemas.openxmlformats.org/officeDocument/2006/relationships/hyperlink" Target="https://e2cgrandlille.sharepoint.com/:w:/s/E2CRessourcesPdagogiques/IQDxN9-Yvt3dSY9m8E4LH1IGARHVoNSPSeImEGMysqmbYzk?e=cNCeT7" TargetMode="External"/><Relationship Id="rId87" Type="http://schemas.openxmlformats.org/officeDocument/2006/relationships/hyperlink" Target="https://e2cgrandlille.sharepoint.com/:f:/s/E2CRessourcesPdagogiques/IgCl0muwKu9iRrMRo1qZwR6TAWe4Q3Au8uB_XLkEsMnK14M?e=Zjih6W" TargetMode="External"/><Relationship Id="rId110" Type="http://schemas.openxmlformats.org/officeDocument/2006/relationships/hyperlink" Target="https://e2cgrandlille.sharepoint.com/:f:/s/E2CRessourcesPdagogiques/IgDAqva7AOSRSZfc6NHEQUtjAWbLix8lkgzZWolCdw_k5FE?e=p3LjiS" TargetMode="External"/><Relationship Id="rId115" Type="http://schemas.openxmlformats.org/officeDocument/2006/relationships/hyperlink" Target="https://e2cgrandlille.sharepoint.com/:w:/s/E2CRessourcesPdagogiques/IQAoOZKhrTzzQ6y3DEBBC09QAfcU7M7w4ZJ5XvyIjVmsqCk?download=1" TargetMode="External"/><Relationship Id="rId131" Type="http://schemas.openxmlformats.org/officeDocument/2006/relationships/hyperlink" Target="https://e2cgrandlille.sharepoint.com/:p:/s/E2CRessourcesPdagogiques/IQDb0Y1a38h4Q69yMJoK4iyYAbrc3wxfClI3dhLSnd6vcmU?download=1" TargetMode="External"/><Relationship Id="rId136" Type="http://schemas.openxmlformats.org/officeDocument/2006/relationships/hyperlink" Target="https://e2cgrandlille.sharepoint.com/:f:/s/E2CRessourcesPdagogiques/IgAhl2N7Rx2_RZ492R2H6v02AYzohuPIzolaj7uy1O7aga4?e=KMu8jM" TargetMode="External"/><Relationship Id="rId157" Type="http://schemas.openxmlformats.org/officeDocument/2006/relationships/hyperlink" Target="https://e2cgrandlille.sharepoint.com/:f:/s/E2CRessourcesPdagogiques/IgCHIGrTuWchT4heBiD12zz1ARFw-RHjSXp6R4LtPbo5w_4?e=L4fg2P" TargetMode="External"/><Relationship Id="rId61" Type="http://schemas.openxmlformats.org/officeDocument/2006/relationships/hyperlink" Target="https://e2cgrandlille.sharepoint.com/:w:/s/E2CRessourcesPdagogiques/IQBrwWeawdyBS61X4HaIDDr2Adlrc4Ns5JmBtm4RwaI8B3Q?e=oPopbe" TargetMode="External"/><Relationship Id="rId82" Type="http://schemas.openxmlformats.org/officeDocument/2006/relationships/hyperlink" Target="https://e2cgrandlille.sharepoint.com/:b:/s/E2CRessourcesPdagogiques/IQAWUlRJwod8Q7_8hPkL3KvYAbb3MHZoTWj7T0d11aiCs70?e=H8V0rs" TargetMode="External"/><Relationship Id="rId152" Type="http://schemas.openxmlformats.org/officeDocument/2006/relationships/hyperlink" Target="https://e2cgrandlille.sharepoint.com/:b:/s/E2CRessourcesPdagogiques/IQBg3e4M1wi8QJsgln9yD6ETAdQssSjYpPWm35ca_DMMau0?e=MIwjjI" TargetMode="External"/><Relationship Id="rId173" Type="http://schemas.openxmlformats.org/officeDocument/2006/relationships/hyperlink" Target="https://up2c.reseau-e2c.fr/seance/detail/10144" TargetMode="External"/><Relationship Id="rId19" Type="http://schemas.openxmlformats.org/officeDocument/2006/relationships/hyperlink" Target="https://e2cgrandlille.sharepoint.com/:f:/s/E2CRessourcesPdagogiques/Et3AvCxAf45OqAl4cMn14IABco0562TgsaLW90s78kVD7w?e=Qhcdcs" TargetMode="External"/><Relationship Id="rId14" Type="http://schemas.openxmlformats.org/officeDocument/2006/relationships/hyperlink" Target="https://e2cgrandlille.sharepoint.com/:f:/s/E2CRessourcesPdagogiques/Er0dxrmvHdNIseAL9cy-pWIBY25_-dh5QBKoxppEolgW9A?e=LUujmU" TargetMode="External"/><Relationship Id="rId30" Type="http://schemas.openxmlformats.org/officeDocument/2006/relationships/hyperlink" Target="https://e2cgrandlille.sharepoint.com/:b:/s/E2CRessourcesPdagogiques/IQDXHSIiKBZ6SoyLiRe1uIDpAQdSdlmJnChBFOsQJyFz4m0?e=2bNwwb" TargetMode="External"/><Relationship Id="rId35" Type="http://schemas.openxmlformats.org/officeDocument/2006/relationships/hyperlink" Target="https://e2cgrandlille.sharepoint.com/:b:/s/E2CRessourcesPdagogiques/IQDtS40E3B34R434AJbC6fJrAdowhyGzlHPk41pTzEuQ4Ik?e=pYus4q" TargetMode="External"/><Relationship Id="rId56" Type="http://schemas.openxmlformats.org/officeDocument/2006/relationships/hyperlink" Target="https://e2cgrandlille.sharepoint.com/:b:/s/E2CRessourcesPdagogiques/IQBFzgPeYo5BSb9efBPAfid9Aa_YHKfma2yPJVgnaAXjF0g?e=uuXP3j" TargetMode="External"/><Relationship Id="rId77" Type="http://schemas.openxmlformats.org/officeDocument/2006/relationships/hyperlink" Target="https://e2cgrandlille.sharepoint.com/:f:/s/E2CRessourcesPdagogiques/IgAX-0us_kwfS6n76GEOF77hAcfEaXB3l19PiEAWHxppXQ4?e=qJAviQ" TargetMode="External"/><Relationship Id="rId100" Type="http://schemas.openxmlformats.org/officeDocument/2006/relationships/hyperlink" Target="https://e2cgrandlille.sharepoint.com/:w:/s/E2CRessourcesPdagogiques/IQCQirYVkZHDSK3T0CwFkftUAZHIh8WW0mlUrZYqpEKt4_8?download=1" TargetMode="External"/><Relationship Id="rId105" Type="http://schemas.openxmlformats.org/officeDocument/2006/relationships/hyperlink" Target="https://e2cgrandlille.sharepoint.com/:w:/s/E2CRessourcesPdagogiques/IQBjKbQjKscORokSOSB08-zzAar21nBcky5r1oCwqbG7KLk?e=bIy1sp" TargetMode="External"/><Relationship Id="rId126" Type="http://schemas.openxmlformats.org/officeDocument/2006/relationships/hyperlink" Target="https://e2cgrandlille.sharepoint.com/:f:/s/E2CRessourcesPdagogiques/IgD8XlB0hwIPQ5l4I6Oxfr3rAZphLVI4BTJIn4iBSM_iHys?e=aTwKZx" TargetMode="External"/><Relationship Id="rId147" Type="http://schemas.openxmlformats.org/officeDocument/2006/relationships/hyperlink" Target="https://e2cgrandlille.sharepoint.com/:b:/s/E2CRessourcesPdagogiques/IQBg3e4M1wi8QJsgln9yD6ETAdQssSjYpPWm35ca_DMMau0?e=MIwjjI" TargetMode="External"/><Relationship Id="rId168" Type="http://schemas.openxmlformats.org/officeDocument/2006/relationships/hyperlink" Target="https://e2cgrandlille.sharepoint.com/:w:/s/E2CRessourcesPdagogiques/IQBrwWeawdyBS61X4HaIDDr2Adlrc4Ns5JmBtm4RwaI8B3Q?download=1" TargetMode="External"/><Relationship Id="rId8" Type="http://schemas.openxmlformats.org/officeDocument/2006/relationships/hyperlink" Target="https://e2cgrandlille.sharepoint.com/:w:/s/E2CRessourcesPdagogiques/EWQTlXhEV4xDjq3SxVB8qzABr3d90n1EdDtmaY5LDPi1ZQ?e=XVHvVj" TargetMode="External"/><Relationship Id="rId51" Type="http://schemas.openxmlformats.org/officeDocument/2006/relationships/hyperlink" Target="https://e2cgrandlille.sharepoint.com/:f:/s/E2CRessourcesPdagogiques/EvmQvslfaO5BkbDoKYrPO0wBHPiZAGijNL5_Ewltjxu1-g?e=uTHWco" TargetMode="External"/><Relationship Id="rId72" Type="http://schemas.openxmlformats.org/officeDocument/2006/relationships/hyperlink" Target="https://e2cgrandlille.sharepoint.com/:f:/s/E2CRessourcesPdagogiques/IgC6ogx8Qq97T4OjpgjuUcTKAUVHoKcviSF95kWMCLaX4bo?e=ksbrt1" TargetMode="External"/><Relationship Id="rId93" Type="http://schemas.openxmlformats.org/officeDocument/2006/relationships/hyperlink" Target="https://e2cgrandlille.sharepoint.com/:w:/s/E2CRessourcesPdagogiques/IQC-H0pVAusKToGlfY1EwhQCASr0eLSzNl0czeMDC3SkaXQ?download=1" TargetMode="External"/><Relationship Id="rId98" Type="http://schemas.openxmlformats.org/officeDocument/2006/relationships/hyperlink" Target="https://e2cgrandlille.sharepoint.com/:w:/s/E2CRessourcesPdagogiques/IQBxHsdhY-3dS7d3mf5UkAisAYPnMNTllZ_ibEcgucif-zs?download=1" TargetMode="External"/><Relationship Id="rId121" Type="http://schemas.openxmlformats.org/officeDocument/2006/relationships/hyperlink" Target="https://e2cgrandlille.sharepoint.com/:p:/s/E2CRessourcesPdagogiques/IQCaoqF6YYGRQ7DaIqPTsje1AacOf2lMwJUczQsg5MrZScQ?download=1" TargetMode="External"/><Relationship Id="rId142" Type="http://schemas.openxmlformats.org/officeDocument/2006/relationships/hyperlink" Target="https://e2cgrandlille.sharepoint.com/:b:/s/E2CRessourcesPdagogiques/IQBg3e4M1wi8QJsgln9yD6ETAdQssSjYpPWm35ca_DMMau0?download=1" TargetMode="External"/><Relationship Id="rId163" Type="http://schemas.openxmlformats.org/officeDocument/2006/relationships/hyperlink" Target="https://e2cgrandlille.sharepoint.com/:w:/s/E2CRessourcesPdagogiques/IQA9hj8wAIyMQpDoY4gfb4esAcTtSEm1fqLr1MjeYY3RDtE?download=1" TargetMode="External"/><Relationship Id="rId3" Type="http://schemas.openxmlformats.org/officeDocument/2006/relationships/hyperlink" Target="https://e2cgrandlille.sharepoint.com/:f:/s/E2CRessourcesPdagogiques/Eo5Ps2_JXdRLoTVi9vaUTZUB-ykIXxk3F1X4XWSko_CLzA?e=Wbvwmu" TargetMode="External"/><Relationship Id="rId25" Type="http://schemas.openxmlformats.org/officeDocument/2006/relationships/hyperlink" Target="https://e2cgrandlille.sharepoint.com/:f:/s/E2CRessourcesPdagogiques/IgBZBy8-c2_tSaxRtLuY6tgqAYrNBTyDNSn1unUmGnVnDMk?e=WrwU5M" TargetMode="External"/><Relationship Id="rId46" Type="http://schemas.openxmlformats.org/officeDocument/2006/relationships/hyperlink" Target="https://e2cgrandlille.sharepoint.com/:b:/s/E2CRessourcesPdagogiques/IQD0owOFI5aBRLmC6Mnd6BNQAcf677FC7rfn2Egpl0gX7Yc?e=gv83tv" TargetMode="External"/><Relationship Id="rId67" Type="http://schemas.openxmlformats.org/officeDocument/2006/relationships/hyperlink" Target="https://e2cgrandlille.sharepoint.com/:w:/s/E2CRessourcesPdagogiques/IQDxN9-Yvt3dSY9m8E4LH1IGARHVoNSPSeImEGMysqmbYzk?e=cNCeT7" TargetMode="External"/><Relationship Id="rId116" Type="http://schemas.openxmlformats.org/officeDocument/2006/relationships/hyperlink" Target="https://e2cgrandlille.sharepoint.com/:w:/s/E2CRessourcesPdagogiques/IQD3GJCxHKaAQr99oXL3x36sAWCAIIUfjVRBTz1aujHe2ug?download=1" TargetMode="External"/><Relationship Id="rId137" Type="http://schemas.openxmlformats.org/officeDocument/2006/relationships/hyperlink" Target="https://e2cgrandlille.sharepoint.com/:f:/s/E2CRessourcesPdagogiques/IgD9BCEe5du1QrAPyRyGUx1wAfhT9l086Vcokqx_DyoEw8s?e=hcLFtH" TargetMode="External"/><Relationship Id="rId158" Type="http://schemas.openxmlformats.org/officeDocument/2006/relationships/hyperlink" Target="https://e2cgrandlille.sharepoint.com/:w:/s/E2CRessourcesPdagogiques/IQA_A6A57K3gR7sWo2fts_lAAW6yyPp8PIm8Y4qXkGXNI4s?download=1" TargetMode="External"/><Relationship Id="rId20" Type="http://schemas.openxmlformats.org/officeDocument/2006/relationships/hyperlink" Target="https://e2cgrandlille.sharepoint.com/:x:/s/E2CRessourcesPdagogiques/ERs5J0PmvodNu-8NRQxDNLwB7iLeKww3ZpmvrG0G7L_B1A?e=hKHx6w" TargetMode="External"/><Relationship Id="rId41" Type="http://schemas.openxmlformats.org/officeDocument/2006/relationships/hyperlink" Target="https://e2cgrandlille.sharepoint.com/:b:/s/E2CRessourcesPdagogiques/IQCTk492FzDyQJ1NN1lQVtjxAYZU5_cZo3coRlv0nEFiv_k?e=zlUfEp" TargetMode="External"/><Relationship Id="rId62" Type="http://schemas.openxmlformats.org/officeDocument/2006/relationships/hyperlink" Target="https://e2cgrandlille.sharepoint.com/:f:/s/E2CRessourcesPdagogiques/IgDNDFj6KGaXS7j2VtWUPEdDAWhtXUTpUOL31fCtWXqZBtc?e=ujq7LY" TargetMode="External"/><Relationship Id="rId83" Type="http://schemas.openxmlformats.org/officeDocument/2006/relationships/hyperlink" Target="https://e2cgrandlille.sharepoint.com/:b:/s/E2CRessourcesPdagogiques/IQDqIijBF70wRqLOwiYjH2BSAYkI846GzJsbaj82jVBCnLM?e=zU1u9Z" TargetMode="External"/><Relationship Id="rId88" Type="http://schemas.openxmlformats.org/officeDocument/2006/relationships/hyperlink" Target="https://e2cgrandlille.sharepoint.com/:w:/s/E2CRessourcesPdagogiques/IQBB51fN9WxPQ4WbCaRpad4-AZCZqLAuSZVlLJveb-RtRX8?download=1" TargetMode="External"/><Relationship Id="rId111" Type="http://schemas.openxmlformats.org/officeDocument/2006/relationships/hyperlink" Target="https://e2cgrandlille.sharepoint.com/:f:/s/E2CRessourcesPdagogiques/IgDAqva7AOSRSZfc6NHEQUtjAWbLix8lkgzZWolCdw_k5FE?e=p3LjiS" TargetMode="External"/><Relationship Id="rId132" Type="http://schemas.openxmlformats.org/officeDocument/2006/relationships/hyperlink" Target="https://e2cgrandlille.sharepoint.com/:w:/s/E2CRessourcesPdagogiques/IQCWyy5eVgcDTIvhT1eqP1W9AQCRPsBevTnNVPp3oZVNm38?e=7Dr3Jb" TargetMode="External"/><Relationship Id="rId153" Type="http://schemas.openxmlformats.org/officeDocument/2006/relationships/hyperlink" Target="https://e2cgrandlille.sharepoint.com/:b:/s/E2CRessourcesPdagogiques/IQBg3e4M1wi8QJsgln9yD6ETAdQssSjYpPWm35ca_DMMau0?e=MIwjjI" TargetMode="External"/><Relationship Id="rId15" Type="http://schemas.openxmlformats.org/officeDocument/2006/relationships/hyperlink" Target="https://e2cgrandlille.sharepoint.com/:f:/s/E2CRessourcesPdagogiques/Evgl4fa7PCNOpeS_jC40cQEB136eOR5gOuAabfzCgDGtLg?e=VVqsW4" TargetMode="External"/><Relationship Id="rId36" Type="http://schemas.openxmlformats.org/officeDocument/2006/relationships/hyperlink" Target="https://e2cgrandlille.sharepoint.com/:b:/s/E2CRessourcesPdagogiques/IQDfEovTxgJmQbdv9u-v8c4PAZuILdGVR-AakRytXU1CC7M?e=T7tEiF" TargetMode="External"/><Relationship Id="rId57" Type="http://schemas.openxmlformats.org/officeDocument/2006/relationships/hyperlink" Target="https://e2cgrandlille.sharepoint.com/:b:/s/E2CRessourcesPdagogiques/IQC1qEUzH43-T4ddKctFI_PWAQPEc7iBkpGxtOFPNwvl8FI?e=n5PPw2" TargetMode="External"/><Relationship Id="rId106" Type="http://schemas.openxmlformats.org/officeDocument/2006/relationships/hyperlink" Target="https://e2cgrandlille.sharepoint.com/:b:/s/E2CRessourcesPdagogiques/IQAoF2xhP678RLgtJHYdKVuwAZgNnXCg0BMvFDPYXrh3xJQ?download=1" TargetMode="External"/><Relationship Id="rId127" Type="http://schemas.openxmlformats.org/officeDocument/2006/relationships/hyperlink" Target="https://e2cgrandlille.sharepoint.com/:f:/s/E2CRessourcesPdagogiques/IgD8XlB0hwIPQ5l4I6Oxfr3rAZphLVI4BTJIn4iBSM_iHys?e=aTwKZx" TargetMode="External"/><Relationship Id="rId10" Type="http://schemas.openxmlformats.org/officeDocument/2006/relationships/hyperlink" Target="https://e2cgrandlille.sharepoint.com/:w:/s/E2CRessourcesPdagogiques/Eb9ULIjGiIBOkxEcqWDhD-YBidI_nNVu9Wgj7j9C41ZcCA?e=shM9CZ" TargetMode="External"/><Relationship Id="rId31" Type="http://schemas.openxmlformats.org/officeDocument/2006/relationships/hyperlink" Target="https://e2cgrandlille.sharepoint.com/:b:/s/E2CRessourcesPdagogiques/IQDIgUdzc_xLQLwb9vnBde4-ATSNIlEK8fWGXKa0RXWffcQ?e=fROXUD" TargetMode="External"/><Relationship Id="rId52" Type="http://schemas.openxmlformats.org/officeDocument/2006/relationships/hyperlink" Target="https://e2cgrandlille.sharepoint.com/:b:/s/E2CRessourcesPdagogiques/IQChfITYH2C1Qa36CfuuflOjAQJxQGQnMwUUmUVNmXmFXlE?e=GN5NyK" TargetMode="External"/><Relationship Id="rId73" Type="http://schemas.openxmlformats.org/officeDocument/2006/relationships/hyperlink" Target="https://e2cgrandlille.sharepoint.com/:f:/s/E2CRessourcesPdagogiques/IgAydhClxal7QJfeQB04FHlWAXwrFpt-Nn1rWc20rRRyfac?e=Mf5jAp" TargetMode="External"/><Relationship Id="rId78" Type="http://schemas.openxmlformats.org/officeDocument/2006/relationships/hyperlink" Target="https://e2cgrandlille.sharepoint.com/:x:/s/E2CRessourcesPdagogiques/IQBIvV1cjXLYS7ScDjeLh3zVATgDfiTaSAwBLNEjy1xemQI?e=ZO8DPZ" TargetMode="External"/><Relationship Id="rId94" Type="http://schemas.openxmlformats.org/officeDocument/2006/relationships/hyperlink" Target="https://e2cgrandlille.sharepoint.com/:w:/s/E2CRessourcesPdagogiques/IQA8gjzG3wXqR5xNDwYsiIADAfaDyXfSUZ0kUVH_vBWhXRo?download=1" TargetMode="External"/><Relationship Id="rId99" Type="http://schemas.openxmlformats.org/officeDocument/2006/relationships/hyperlink" Target="https://e2cgrandlille.sharepoint.com/:w:/s/E2CRessourcesPdagogiques/IQCQirYVkZHDSK3T0CwFkftUAZHIh8WW0mlUrZYqpEKt4_8?e=fclFED" TargetMode="External"/><Relationship Id="rId101" Type="http://schemas.openxmlformats.org/officeDocument/2006/relationships/hyperlink" Target="https://e2cgrandlille.sharepoint.com/:f:/s/E2CRessourcesPdagogiques/IgC68dWYTzYPTYgyzQAU6SH-AaNhqRV2YHbo-4oWYi3dlIc?e=aqdIda" TargetMode="External"/><Relationship Id="rId122" Type="http://schemas.openxmlformats.org/officeDocument/2006/relationships/hyperlink" Target="https://e2cgrandlille.sharepoint.com/:b:/s/E2CRessourcesPdagogiques/IQD0owOFI5aBRLmC6Mnd6BNQAcf677FC7rfn2Egpl0gX7Yc?download=1" TargetMode="External"/><Relationship Id="rId143" Type="http://schemas.openxmlformats.org/officeDocument/2006/relationships/hyperlink" Target="https://e2cgrandlille.sharepoint.com/:b:/s/E2CRessourcesPdagogiques/IQBg3e4M1wi8QJsgln9yD6ETAdQssSjYpPWm35ca_DMMau0?e=MIwjjI" TargetMode="External"/><Relationship Id="rId148" Type="http://schemas.openxmlformats.org/officeDocument/2006/relationships/hyperlink" Target="https://e2cgrandlille.sharepoint.com/:b:/s/E2CRessourcesPdagogiques/IQBg3e4M1wi8QJsgln9yD6ETAdQssSjYpPWm35ca_DMMau0?e=MIwjjI" TargetMode="External"/><Relationship Id="rId164" Type="http://schemas.openxmlformats.org/officeDocument/2006/relationships/hyperlink" Target="https://e2cgrandlille.sharepoint.com/:b:/s/E2CRessourcesPdagogiques/IQA1M9LO3BaZQJFk0__DzCocAeg4mt1-Y_XURmLjww-lskE?download=1" TargetMode="External"/><Relationship Id="rId169" Type="http://schemas.openxmlformats.org/officeDocument/2006/relationships/hyperlink" Target="https://e2cgrandlille-my.sharepoint.com/my?id=%2Fpersonal%2Fo%5Fburcker%5Fe2c%2Dgrandlille%5Ffr%2FDocuments%2FPi%C3%A8ces%20jointes%2FCyberpark%20%2D%20Pr%C3%A9sentation%202025%20%283%29%2Epdf&amp;parent=%2Fpersonal%2Fo%5Fburcker%5Fe2c%2Dgrandlille%5Ffr%2FDocuments%2FPi%C3%A8ces%20jointes" TargetMode="External"/><Relationship Id="rId4" Type="http://schemas.openxmlformats.org/officeDocument/2006/relationships/hyperlink" Target="https://e2cgrandlille.sharepoint.com/:p:/s/E2CProcedures/EVMmILqfwdBOstRYpqqyGSIBE3_XDpv7fIr20ZavkPqDZg?e=G4RUxb" TargetMode="External"/><Relationship Id="rId9" Type="http://schemas.openxmlformats.org/officeDocument/2006/relationships/hyperlink" Target="https://e2cgrandlille.sharepoint.com/:w:/s/E2CRessourcesPdagogiques/ESI3E-2gMBtHnOo976rRqpsBuCAW4Avfm8oh38ON6JWxUw?e=nsh0Og" TargetMode="External"/><Relationship Id="rId26" Type="http://schemas.openxmlformats.org/officeDocument/2006/relationships/hyperlink" Target="https://e2cgrandlille.sharepoint.com/:f:/s/E2CRessourcesPdagogiques/IgAL8UmQjc7NQZ1vgI9WxCHCAWAmCq5LT4gB_ZwnnN-Vuuw?e=57FNvh" TargetMode="External"/><Relationship Id="rId47" Type="http://schemas.openxmlformats.org/officeDocument/2006/relationships/hyperlink" Target="https://e2cgrandlille.sharepoint.com/:b:/s/E2CRessourcesPdagogiques/IQDqngrgEiJCT5vhrUzz7LS9AWQSNMp-k1qmIj3PtClfsWQ?e=W5t5q4" TargetMode="External"/><Relationship Id="rId68" Type="http://schemas.openxmlformats.org/officeDocument/2006/relationships/hyperlink" Target="https://e2cgrandlille.sharepoint.com/:f:/s/E2CRessourcesPdagogiques/IgCHRIKonOgvS5b0RIadkSt1ARbdn2WbCs5xBWiQ08FxLMQ?e=dZS3OC" TargetMode="External"/><Relationship Id="rId89" Type="http://schemas.openxmlformats.org/officeDocument/2006/relationships/hyperlink" Target="https://e2cgrandlille.sharepoint.com/:f:/s/E2CRessourcesPdagogiques/IgDF7CMgJs65QL9U1nFP3DYPAdMc_zXioDmeN4iGN-YkVHs?e=4RNLcf" TargetMode="External"/><Relationship Id="rId112" Type="http://schemas.openxmlformats.org/officeDocument/2006/relationships/hyperlink" Target="https://e2cgrandlille.sharepoint.com/:b:/s/E2CRessourcesPdagogiques/IQAcyEGiwLGnSb-8mt4eHa00AYvTWyIeFQbTN6mZx-A3btg?download=1" TargetMode="External"/><Relationship Id="rId133" Type="http://schemas.openxmlformats.org/officeDocument/2006/relationships/hyperlink" Target="https://e2cgrandlille.sharepoint.com/:b:/s/E2CRessourcesPdagogiques/IQCTlD7HgYhyTLSheJdLoa3kARt4s5g593txv-BdD4AEOkE?download=1" TargetMode="External"/><Relationship Id="rId154" Type="http://schemas.openxmlformats.org/officeDocument/2006/relationships/hyperlink" Target="https://e2cgrandlille.sharepoint.com/:f:/s/E2CRessourcesPdagogiques/IgDR8cTZeL9YS6aroCM9zVVXARDl6Aks-qXmR8wBnfgqAyE?e=cjdqXq" TargetMode="External"/><Relationship Id="rId16" Type="http://schemas.openxmlformats.org/officeDocument/2006/relationships/hyperlink" Target="https://e2cgrandlille.sharepoint.com/:f:/s/E2CRessourcesPdagogiques/EuceRCj9CNpHsDJdYw9WayQBnT63-gqy58CGAJy3Cl9FmQ?e=Mcn915" TargetMode="External"/><Relationship Id="rId37" Type="http://schemas.openxmlformats.org/officeDocument/2006/relationships/hyperlink" Target="https://e2cgrandlille.sharepoint.com/:b:/s/E2CRessourcesPdagogiques/IQAlU48Jcm45QpFqQ2j4VWcZAbsKMnKgFTd6I0G90OlsT1Y?e=1esWEY" TargetMode="External"/><Relationship Id="rId58" Type="http://schemas.openxmlformats.org/officeDocument/2006/relationships/hyperlink" Target="https://e2cgrandlille.sharepoint.com/:b:/s/E2CRessourcesPdagogiques/IQA8c1FW7_m_SpwtGMmTF2e9AeCQwXV55N9jsol7DMCOBYc?e=I2kVF3" TargetMode="External"/><Relationship Id="rId79" Type="http://schemas.openxmlformats.org/officeDocument/2006/relationships/hyperlink" Target="https://e2cgrandlille.sharepoint.com/:x:/s/E2CRessourcesPdagogiques/IQDZ7OHq_DE0QaCMsR1vmZ3qAcgZcNh69rNplI87iRXP44c?e=XIcIA5" TargetMode="External"/><Relationship Id="rId102" Type="http://schemas.openxmlformats.org/officeDocument/2006/relationships/hyperlink" Target="https://e2cgrandlille.sharepoint.com/:w:/s/E2CRessourcesPdagogiques/IQBjKbQjKscORokSOSB08-zzAar21nBcky5r1oCwqbG7KLk?e=bIy1sp" TargetMode="External"/><Relationship Id="rId123" Type="http://schemas.openxmlformats.org/officeDocument/2006/relationships/hyperlink" Target="https://e2cgrandlille.sharepoint.com/:w:/s/E2CRessourcesPdagogiques/IQA0iHHLsROaT74G-E70KwHRAbDDLoM7qASvxRYbTTQJ9d8?download=1" TargetMode="External"/><Relationship Id="rId144" Type="http://schemas.openxmlformats.org/officeDocument/2006/relationships/hyperlink" Target="https://e2cgrandlille.sharepoint.com/:b:/s/E2CRessourcesPdagogiques/IQBg3e4M1wi8QJsgln9yD6ETAdQssSjYpPWm35ca_DMMau0?e=MIwjjI" TargetMode="External"/><Relationship Id="rId90" Type="http://schemas.openxmlformats.org/officeDocument/2006/relationships/hyperlink" Target="https://e2cgrandlille.sharepoint.com/:w:/s/E2CRessourcesPdagogiques/IQCVfLmlWWFoRYiEf-upFrUWAVOtns0nSFRtGl3d5TXdNPo?download=1" TargetMode="External"/><Relationship Id="rId165" Type="http://schemas.openxmlformats.org/officeDocument/2006/relationships/hyperlink" Target="https://e2cgrandlille.sharepoint.com/:x:/s/E2CRessourcesPdagogiques/IQBghVYaY8ZtQbjflVvxqDvmASu9ioGhJ-U7lRm-ndxKR9U?download=1" TargetMode="External"/><Relationship Id="rId27" Type="http://schemas.openxmlformats.org/officeDocument/2006/relationships/hyperlink" Target="https://e2cgrandlille.sharepoint.com/:f:/s/E2CRessourcesPdagogiques/IgBGBguvT_ZvS62Z2IPlTaqfASZzNNUZliOqMbpXfOgYUzM?e=P0UJkG" TargetMode="External"/><Relationship Id="rId48" Type="http://schemas.openxmlformats.org/officeDocument/2006/relationships/hyperlink" Target="https://e2cgrandlille.sharepoint.com/:b:/s/E2CRessourcesPdagogiques/IQC6HJeW_nBjSqjq-HL8cC_dAfst2P0iVdBLAjoMyC2vYCw?e=LgVuMN" TargetMode="External"/><Relationship Id="rId69" Type="http://schemas.openxmlformats.org/officeDocument/2006/relationships/hyperlink" Target="https://e2cgrandlille.sharepoint.com/:w:/s/E2CRessourcesPdagogiques/IQB8_MdYRlU_RrCZWfDNm9qbASIjwm2sMp6A77kmN6BRbW4?e=QOs1qz" TargetMode="External"/><Relationship Id="rId113" Type="http://schemas.openxmlformats.org/officeDocument/2006/relationships/hyperlink" Target="https://e2cgrandlille.sharepoint.com/:f:/s/E2CRessourcesPdagogiques/IgAXKoCDk_XgTZzlJAqiCkWpATb8xGy62BUa40dNuK5IvHQ?e=G5bmG2" TargetMode="External"/><Relationship Id="rId134" Type="http://schemas.openxmlformats.org/officeDocument/2006/relationships/hyperlink" Target="https://e2cgrandlille.sharepoint.com/:w:/s/E2CRessourcesPdagogiques/IQBBjaMBpu-4TK_q7gdyNVF9AYlQEbYcrWycSREF-hy70RU?download=1" TargetMode="External"/><Relationship Id="rId80" Type="http://schemas.openxmlformats.org/officeDocument/2006/relationships/hyperlink" Target="https://e2cgrandlille.sharepoint.com/:b:/s/E2CRessourcesPdagogiques/IQAgv-U3pDjaRowMAKl5O5RgAUhMpviP5PhXiilPWSsvUPU?e=nas7Ep" TargetMode="External"/><Relationship Id="rId155" Type="http://schemas.openxmlformats.org/officeDocument/2006/relationships/hyperlink" Target="https://e2cgrandlille.sharepoint.com/:f:/s/E2CRessourcesPdagogiques/IgDp5sByZirkQ4gM-6Fn2VnSAduhMOqQJnE7sDrNpnK0boU?e=djwERu" TargetMode="External"/><Relationship Id="rId17" Type="http://schemas.openxmlformats.org/officeDocument/2006/relationships/hyperlink" Target="https://e2cgrandlille.sharepoint.com/:f:/s/E2CRessourcesPdagogiques/EgkMpdHXXrBDnHS4BdJf_XcBgrgXStOLH5Vr52LD_8hcGQ?e=vjTtQ9" TargetMode="External"/><Relationship Id="rId38" Type="http://schemas.openxmlformats.org/officeDocument/2006/relationships/hyperlink" Target="https://e2cgrandlille.sharepoint.com/:b:/s/E2CRessourcesPdagogiques/IQBCnkcTCLKiTYUnVQL4BYOgAR44gAU69MJkGjvKcsjrniA?e=52Q0sx" TargetMode="External"/><Relationship Id="rId59" Type="http://schemas.openxmlformats.org/officeDocument/2006/relationships/hyperlink" Target="https://e2cgrandlille.sharepoint.com/:b:/s/E2CRessourcesPdagogiques/IQDXGPLC5B0KSop8SJ1Tly0eAW71DxRtipxvCwqidFn4A9I?e=RSnE3X" TargetMode="External"/><Relationship Id="rId103" Type="http://schemas.openxmlformats.org/officeDocument/2006/relationships/hyperlink" Target="https://e2cgrandlille.sharepoint.com/:w:/s/E2CRessourcesPdagogiques/IQBjKbQjKscORokSOSB08-zzAar21nBcky5r1oCwqbG7KLk?e=bIy1sp" TargetMode="External"/><Relationship Id="rId124" Type="http://schemas.openxmlformats.org/officeDocument/2006/relationships/hyperlink" Target="https://e2cgrandlille.sharepoint.com/:w:/s/E2CRessourcesPdagogiques/IQCh4FlIkViNQLkMfHog-KzvAe-a6LFvh1vQyXzfHetXa_w?download=1" TargetMode="External"/><Relationship Id="rId70" Type="http://schemas.openxmlformats.org/officeDocument/2006/relationships/hyperlink" Target="https://e2cgrandlille.sharepoint.com/:w:/s/E2CRessourcesPdagogiques/IQCd8nbwJCe4RZJVKI3-jM2pAScylYVR1XQ9Ak8a0GJqnNw?e=6Yd5k0" TargetMode="External"/><Relationship Id="rId91" Type="http://schemas.openxmlformats.org/officeDocument/2006/relationships/hyperlink" Target="https://e2cgrandlille.sharepoint.com/:w:/s/E2CRessourcesPdagogiques/IQDFPz7paHHGQL5Un9JQ3qrUAWt_1A_4FzOyq7JljAcjsqo?download=1" TargetMode="External"/><Relationship Id="rId145" Type="http://schemas.openxmlformats.org/officeDocument/2006/relationships/hyperlink" Target="https://e2cgrandlille.sharepoint.com/:b:/s/E2CRessourcesPdagogiques/IQBg3e4M1wi8QJsgln9yD6ETAdQssSjYpPWm35ca_DMMau0?e=MIwjjI" TargetMode="External"/><Relationship Id="rId166" Type="http://schemas.openxmlformats.org/officeDocument/2006/relationships/hyperlink" Target="https://e2cgrandlille.sharepoint.com/:p:/s/E2CRessourcesPdagogiques/IQCEh1ISVzMmTKpnAUhAyIK1AQ5KYF-j8tIAqlxpXBzqhTk?download=1"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1:V383"/>
  <sheetViews>
    <sheetView tabSelected="1" workbookViewId="0">
      <pane ySplit="1" topLeftCell="A2" activePane="bottomLeft" state="frozen"/>
      <selection pane="bottomLeft" sqref="A1:XFD1048576"/>
    </sheetView>
  </sheetViews>
  <sheetFormatPr defaultColWidth="11.42578125" defaultRowHeight="15"/>
  <cols>
    <col min="2" max="2" width="53" customWidth="1"/>
    <col min="3" max="3" width="18" customWidth="1"/>
    <col min="4" max="5" width="15.42578125" hidden="1" customWidth="1"/>
    <col min="6" max="6" width="18" bestFit="1" customWidth="1"/>
    <col min="7" max="7" width="21.28515625" customWidth="1"/>
    <col min="8" max="8" width="7" customWidth="1"/>
    <col min="9" max="9" width="17.28515625" customWidth="1"/>
    <col min="10" max="10" width="16.5703125" customWidth="1"/>
    <col min="11" max="13" width="14.42578125" hidden="1" customWidth="1"/>
    <col min="18" max="19" width="21.28515625" customWidth="1"/>
    <col min="20" max="20" width="16.28515625" hidden="1" customWidth="1"/>
    <col min="21" max="21" width="15.140625" hidden="1" customWidth="1"/>
  </cols>
  <sheetData>
    <row r="1" spans="1:2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s="4" customFormat="1" ht="16.5">
      <c r="A2" s="4" t="str">
        <f>"GL-"&amp;TEXT(ROW()-1,"0000")</f>
        <v>GL-0001</v>
      </c>
      <c r="B2" s="4" t="s">
        <v>22</v>
      </c>
      <c r="C2" s="4" t="s">
        <v>23</v>
      </c>
      <c r="D2" s="4" t="s">
        <v>24</v>
      </c>
      <c r="E2" s="4" t="s">
        <v>25</v>
      </c>
      <c r="F2" s="4" t="s">
        <v>26</v>
      </c>
      <c r="G2" s="4" t="s">
        <v>27</v>
      </c>
      <c r="H2" s="4" t="s">
        <v>28</v>
      </c>
      <c r="I2" s="4" t="s">
        <v>28</v>
      </c>
      <c r="J2" s="4" t="s">
        <v>28</v>
      </c>
      <c r="K2" s="4" t="s">
        <v>29</v>
      </c>
      <c r="L2" s="4" t="s">
        <v>28</v>
      </c>
      <c r="N2" s="4" t="s">
        <v>30</v>
      </c>
      <c r="P2" s="4" t="s">
        <v>31</v>
      </c>
      <c r="Q2" s="4" t="s">
        <v>26</v>
      </c>
      <c r="R2" s="3" t="s">
        <v>32</v>
      </c>
      <c r="S2" s="3" t="s">
        <v>33</v>
      </c>
      <c r="T2" s="4" t="s">
        <v>34</v>
      </c>
      <c r="U2" s="4">
        <v>3</v>
      </c>
      <c r="V2" s="17" t="s">
        <v>35</v>
      </c>
    </row>
    <row r="3" spans="1:22">
      <c r="B3" t="s">
        <v>36</v>
      </c>
      <c r="C3" t="s">
        <v>37</v>
      </c>
      <c r="D3" t="s">
        <v>38</v>
      </c>
      <c r="E3" t="s">
        <v>25</v>
      </c>
      <c r="H3" t="s">
        <v>34</v>
      </c>
      <c r="N3" t="s">
        <v>39</v>
      </c>
    </row>
    <row r="4" spans="1:22" s="4" customFormat="1" ht="16.5">
      <c r="A4" s="4" t="str">
        <f t="shared" ref="A4:A52" si="0">"GL-"&amp;TEXT(ROW()-1,"0000")</f>
        <v>GL-0003</v>
      </c>
      <c r="B4" s="4" t="s">
        <v>40</v>
      </c>
      <c r="C4" s="4" t="s">
        <v>23</v>
      </c>
      <c r="D4" s="4" t="s">
        <v>38</v>
      </c>
      <c r="E4" s="4" t="s">
        <v>25</v>
      </c>
      <c r="F4" s="4" t="s">
        <v>38</v>
      </c>
      <c r="G4" s="4" t="s">
        <v>27</v>
      </c>
      <c r="H4" s="4" t="s">
        <v>28</v>
      </c>
      <c r="I4" s="4" t="s">
        <v>28</v>
      </c>
      <c r="J4" s="4" t="s">
        <v>28</v>
      </c>
      <c r="K4" s="4" t="s">
        <v>29</v>
      </c>
      <c r="L4" s="4" t="s">
        <v>34</v>
      </c>
      <c r="N4" s="4" t="s">
        <v>41</v>
      </c>
      <c r="P4" s="4" t="s">
        <v>38</v>
      </c>
      <c r="Q4" s="4" t="s">
        <v>42</v>
      </c>
      <c r="T4" s="4" t="s">
        <v>34</v>
      </c>
      <c r="U4" s="4">
        <v>3</v>
      </c>
      <c r="V4" s="17" t="s">
        <v>43</v>
      </c>
    </row>
    <row r="5" spans="1:22" ht="16.5">
      <c r="A5" s="4" t="str">
        <f t="shared" si="0"/>
        <v>GL-0004</v>
      </c>
      <c r="B5" s="4" t="s">
        <v>44</v>
      </c>
      <c r="C5" s="4" t="s">
        <v>23</v>
      </c>
      <c r="D5" s="4" t="s">
        <v>38</v>
      </c>
      <c r="E5" s="4" t="s">
        <v>25</v>
      </c>
      <c r="F5" s="4" t="s">
        <v>38</v>
      </c>
      <c r="G5" s="4" t="s">
        <v>27</v>
      </c>
      <c r="H5" s="4" t="s">
        <v>28</v>
      </c>
      <c r="I5" s="4" t="s">
        <v>28</v>
      </c>
      <c r="J5" s="4" t="s">
        <v>28</v>
      </c>
      <c r="K5" s="4" t="s">
        <v>29</v>
      </c>
      <c r="L5" s="4" t="s">
        <v>34</v>
      </c>
      <c r="M5" s="4" t="s">
        <v>45</v>
      </c>
      <c r="N5" s="4" t="s">
        <v>41</v>
      </c>
      <c r="O5" s="4"/>
      <c r="P5" s="4" t="s">
        <v>38</v>
      </c>
      <c r="Q5" s="4" t="s">
        <v>46</v>
      </c>
      <c r="R5" s="4"/>
      <c r="S5" s="4"/>
      <c r="T5" s="4" t="s">
        <v>34</v>
      </c>
      <c r="U5" s="4">
        <v>3</v>
      </c>
      <c r="V5" s="17" t="s">
        <v>47</v>
      </c>
    </row>
    <row r="6" spans="1:22" ht="16.5">
      <c r="A6" s="4" t="str">
        <f t="shared" si="0"/>
        <v>GL-0005</v>
      </c>
      <c r="B6" s="4" t="s">
        <v>48</v>
      </c>
      <c r="C6" s="4" t="s">
        <v>23</v>
      </c>
      <c r="D6" s="4"/>
      <c r="E6" s="4" t="s">
        <v>25</v>
      </c>
      <c r="F6" s="4" t="s">
        <v>26</v>
      </c>
      <c r="G6" s="4" t="s">
        <v>27</v>
      </c>
      <c r="H6" s="4" t="s">
        <v>28</v>
      </c>
      <c r="I6" s="4" t="s">
        <v>28</v>
      </c>
      <c r="J6" s="4" t="s">
        <v>28</v>
      </c>
      <c r="K6" s="4" t="s">
        <v>49</v>
      </c>
      <c r="L6" s="4" t="s">
        <v>28</v>
      </c>
      <c r="M6" s="4"/>
      <c r="N6" s="4" t="s">
        <v>39</v>
      </c>
      <c r="O6" s="4" t="s">
        <v>50</v>
      </c>
      <c r="P6" s="4" t="s">
        <v>31</v>
      </c>
      <c r="Q6" s="4" t="s">
        <v>26</v>
      </c>
      <c r="R6" s="5" t="s">
        <v>51</v>
      </c>
      <c r="S6" s="5"/>
      <c r="T6" s="4" t="s">
        <v>28</v>
      </c>
      <c r="U6" s="4" t="s">
        <v>52</v>
      </c>
      <c r="V6" s="17" t="s">
        <v>53</v>
      </c>
    </row>
    <row r="7" spans="1:22" ht="16.5">
      <c r="A7" s="4" t="str">
        <f t="shared" si="0"/>
        <v>GL-0006</v>
      </c>
      <c r="B7" s="4" t="s">
        <v>54</v>
      </c>
      <c r="C7" s="4" t="s">
        <v>23</v>
      </c>
      <c r="D7" s="4" t="s">
        <v>55</v>
      </c>
      <c r="E7" s="4" t="s">
        <v>25</v>
      </c>
      <c r="F7" s="4" t="s">
        <v>26</v>
      </c>
      <c r="G7" s="4" t="s">
        <v>27</v>
      </c>
      <c r="H7" s="4" t="s">
        <v>28</v>
      </c>
      <c r="I7" s="4" t="s">
        <v>28</v>
      </c>
      <c r="J7" s="4" t="s">
        <v>34</v>
      </c>
      <c r="K7" s="4" t="s">
        <v>29</v>
      </c>
      <c r="L7" s="4" t="s">
        <v>28</v>
      </c>
      <c r="M7" s="4"/>
      <c r="N7" s="4" t="s">
        <v>30</v>
      </c>
      <c r="O7" s="4" t="s">
        <v>28</v>
      </c>
      <c r="P7" s="4" t="s">
        <v>31</v>
      </c>
      <c r="Q7" s="4" t="s">
        <v>26</v>
      </c>
      <c r="R7" s="3" t="s">
        <v>56</v>
      </c>
      <c r="S7" s="3" t="s">
        <v>57</v>
      </c>
      <c r="T7" s="4" t="s">
        <v>28</v>
      </c>
      <c r="U7" s="4">
        <v>3</v>
      </c>
      <c r="V7" s="17" t="s">
        <v>58</v>
      </c>
    </row>
    <row r="8" spans="1:22" ht="16.5">
      <c r="A8" s="4" t="str">
        <f t="shared" si="0"/>
        <v>GL-0007</v>
      </c>
      <c r="B8" s="4" t="s">
        <v>59</v>
      </c>
      <c r="C8" s="4" t="s">
        <v>23</v>
      </c>
      <c r="D8" s="4" t="s">
        <v>24</v>
      </c>
      <c r="E8" s="4" t="s">
        <v>60</v>
      </c>
      <c r="F8" s="4" t="s">
        <v>26</v>
      </c>
      <c r="G8" s="4" t="s">
        <v>27</v>
      </c>
      <c r="H8" s="4" t="s">
        <v>28</v>
      </c>
      <c r="I8" s="4" t="s">
        <v>28</v>
      </c>
      <c r="J8" s="4" t="s">
        <v>28</v>
      </c>
      <c r="K8" s="4" t="s">
        <v>61</v>
      </c>
      <c r="L8" s="4" t="s">
        <v>34</v>
      </c>
      <c r="M8" s="4"/>
      <c r="N8" s="4" t="s">
        <v>39</v>
      </c>
      <c r="O8" s="4"/>
      <c r="P8" s="4" t="s">
        <v>24</v>
      </c>
      <c r="Q8" s="4" t="s">
        <v>62</v>
      </c>
      <c r="R8" s="5" t="s">
        <v>63</v>
      </c>
      <c r="S8" s="3" t="s">
        <v>64</v>
      </c>
      <c r="T8" s="4" t="s">
        <v>28</v>
      </c>
      <c r="U8" s="4">
        <v>3</v>
      </c>
      <c r="V8" s="17" t="s">
        <v>65</v>
      </c>
    </row>
    <row r="9" spans="1:22" ht="16.5">
      <c r="A9" s="4" t="str">
        <f t="shared" si="0"/>
        <v>GL-0008</v>
      </c>
      <c r="B9" s="4" t="s">
        <v>66</v>
      </c>
      <c r="C9" s="4" t="s">
        <v>23</v>
      </c>
      <c r="D9" s="4" t="s">
        <v>67</v>
      </c>
      <c r="E9" s="4" t="s">
        <v>25</v>
      </c>
      <c r="F9" s="4" t="s">
        <v>67</v>
      </c>
      <c r="G9" s="4" t="s">
        <v>27</v>
      </c>
      <c r="H9" s="4" t="s">
        <v>28</v>
      </c>
      <c r="I9" s="4" t="s">
        <v>28</v>
      </c>
      <c r="J9" s="4" t="s">
        <v>28</v>
      </c>
      <c r="K9" s="4" t="s">
        <v>29</v>
      </c>
      <c r="L9" s="4" t="s">
        <v>34</v>
      </c>
      <c r="M9" s="4" t="s">
        <v>68</v>
      </c>
      <c r="N9" s="4" t="s">
        <v>41</v>
      </c>
      <c r="O9" s="4"/>
      <c r="P9" s="4" t="s">
        <v>24</v>
      </c>
      <c r="Q9" s="4" t="s">
        <v>67</v>
      </c>
      <c r="R9" s="4"/>
      <c r="S9" s="4"/>
      <c r="T9" s="4" t="s">
        <v>34</v>
      </c>
      <c r="U9" s="4">
        <v>3</v>
      </c>
      <c r="V9" s="17" t="s">
        <v>69</v>
      </c>
    </row>
    <row r="10" spans="1:22" ht="16.5">
      <c r="A10" s="4" t="str">
        <f t="shared" si="0"/>
        <v>GL-0009</v>
      </c>
      <c r="B10" s="4" t="s">
        <v>70</v>
      </c>
      <c r="C10" s="4" t="s">
        <v>23</v>
      </c>
      <c r="D10" s="4" t="s">
        <v>55</v>
      </c>
      <c r="E10" s="4" t="s">
        <v>60</v>
      </c>
      <c r="F10" s="4" t="s">
        <v>71</v>
      </c>
      <c r="G10" s="4" t="s">
        <v>27</v>
      </c>
      <c r="H10" s="4" t="s">
        <v>28</v>
      </c>
      <c r="I10" s="4" t="s">
        <v>28</v>
      </c>
      <c r="J10" s="4" t="s">
        <v>28</v>
      </c>
      <c r="K10" s="4" t="s">
        <v>72</v>
      </c>
      <c r="L10" s="4" t="s">
        <v>34</v>
      </c>
      <c r="M10" s="4" t="s">
        <v>73</v>
      </c>
      <c r="N10" s="4" t="s">
        <v>41</v>
      </c>
      <c r="O10" s="4"/>
      <c r="P10" s="4" t="s">
        <v>31</v>
      </c>
      <c r="Q10" s="4" t="s">
        <v>74</v>
      </c>
      <c r="R10" s="5" t="s">
        <v>75</v>
      </c>
      <c r="S10" s="3" t="s">
        <v>76</v>
      </c>
      <c r="T10" s="4" t="s">
        <v>34</v>
      </c>
      <c r="U10" s="4">
        <v>3</v>
      </c>
      <c r="V10" s="17" t="s">
        <v>77</v>
      </c>
    </row>
    <row r="11" spans="1:22" ht="16.5">
      <c r="A11" s="4" t="str">
        <f t="shared" si="0"/>
        <v>GL-0010</v>
      </c>
      <c r="B11" s="4" t="s">
        <v>78</v>
      </c>
      <c r="C11" s="4" t="s">
        <v>23</v>
      </c>
      <c r="D11" s="4" t="s">
        <v>55</v>
      </c>
      <c r="E11" s="4" t="s">
        <v>60</v>
      </c>
      <c r="F11" s="4" t="s">
        <v>71</v>
      </c>
      <c r="G11" s="4" t="s">
        <v>27</v>
      </c>
      <c r="H11" s="4" t="s">
        <v>28</v>
      </c>
      <c r="I11" s="4" t="s">
        <v>28</v>
      </c>
      <c r="J11" s="4" t="s">
        <v>28</v>
      </c>
      <c r="K11" s="4" t="s">
        <v>72</v>
      </c>
      <c r="L11" s="4" t="s">
        <v>34</v>
      </c>
      <c r="M11" s="4" t="s">
        <v>73</v>
      </c>
      <c r="N11" s="4" t="s">
        <v>41</v>
      </c>
      <c r="O11" s="4"/>
      <c r="P11" s="4" t="s">
        <v>31</v>
      </c>
      <c r="Q11" s="4" t="s">
        <v>74</v>
      </c>
      <c r="R11" s="5" t="s">
        <v>75</v>
      </c>
      <c r="S11" s="3" t="s">
        <v>76</v>
      </c>
      <c r="T11" s="4" t="s">
        <v>34</v>
      </c>
      <c r="U11" s="4">
        <v>3</v>
      </c>
      <c r="V11" s="17" t="s">
        <v>79</v>
      </c>
    </row>
    <row r="12" spans="1:22" s="4" customFormat="1" ht="16.5">
      <c r="A12" s="4" t="str">
        <f t="shared" si="0"/>
        <v>GL-0011</v>
      </c>
      <c r="B12" s="4" t="s">
        <v>80</v>
      </c>
      <c r="C12" s="4" t="s">
        <v>23</v>
      </c>
      <c r="D12" s="4" t="s">
        <v>55</v>
      </c>
      <c r="E12" s="4" t="s">
        <v>60</v>
      </c>
      <c r="F12" s="4" t="s">
        <v>71</v>
      </c>
      <c r="G12" s="4" t="s">
        <v>27</v>
      </c>
      <c r="H12" s="4" t="s">
        <v>28</v>
      </c>
      <c r="I12" s="4" t="s">
        <v>28</v>
      </c>
      <c r="J12" s="4" t="s">
        <v>28</v>
      </c>
      <c r="K12" s="4" t="s">
        <v>72</v>
      </c>
      <c r="L12" s="4" t="s">
        <v>34</v>
      </c>
      <c r="M12" s="4" t="s">
        <v>73</v>
      </c>
      <c r="N12" s="4" t="s">
        <v>41</v>
      </c>
      <c r="P12" s="4" t="s">
        <v>31</v>
      </c>
      <c r="Q12" s="4" t="s">
        <v>74</v>
      </c>
      <c r="R12" s="5" t="s">
        <v>75</v>
      </c>
      <c r="S12" s="3" t="s">
        <v>76</v>
      </c>
      <c r="T12" s="4" t="s">
        <v>34</v>
      </c>
      <c r="U12" s="4">
        <v>3</v>
      </c>
      <c r="V12" s="17" t="s">
        <v>81</v>
      </c>
    </row>
    <row r="13" spans="1:22" s="4" customFormat="1" ht="16.5">
      <c r="A13" s="4" t="str">
        <f t="shared" si="0"/>
        <v>GL-0012</v>
      </c>
      <c r="B13" s="4" t="s">
        <v>82</v>
      </c>
      <c r="C13" s="4" t="s">
        <v>23</v>
      </c>
      <c r="D13" s="4" t="s">
        <v>55</v>
      </c>
      <c r="E13" s="4" t="s">
        <v>25</v>
      </c>
      <c r="F13" s="4" t="s">
        <v>67</v>
      </c>
      <c r="G13" s="4" t="s">
        <v>27</v>
      </c>
      <c r="H13" s="4" t="s">
        <v>28</v>
      </c>
      <c r="I13" s="4" t="s">
        <v>28</v>
      </c>
      <c r="J13" s="4" t="s">
        <v>28</v>
      </c>
      <c r="K13" s="4" t="s">
        <v>50</v>
      </c>
      <c r="L13" s="4" t="s">
        <v>34</v>
      </c>
      <c r="M13" s="4" t="s">
        <v>83</v>
      </c>
      <c r="N13" s="4" t="s">
        <v>39</v>
      </c>
      <c r="O13" s="4" t="s">
        <v>28</v>
      </c>
      <c r="P13" s="4" t="s">
        <v>24</v>
      </c>
      <c r="Q13" s="4" t="s">
        <v>67</v>
      </c>
      <c r="R13" s="5" t="s">
        <v>84</v>
      </c>
      <c r="S13" s="3" t="s">
        <v>84</v>
      </c>
      <c r="U13" s="4">
        <v>3</v>
      </c>
      <c r="V13" s="17" t="s">
        <v>85</v>
      </c>
    </row>
    <row r="14" spans="1:22" s="4" customFormat="1" ht="16.5">
      <c r="A14" s="4" t="str">
        <f t="shared" si="0"/>
        <v>GL-0013</v>
      </c>
      <c r="B14" s="4" t="s">
        <v>86</v>
      </c>
      <c r="C14" s="4" t="s">
        <v>23</v>
      </c>
      <c r="D14" s="4" t="s">
        <v>24</v>
      </c>
      <c r="E14" s="4" t="s">
        <v>25</v>
      </c>
      <c r="F14" s="4" t="s">
        <v>26</v>
      </c>
      <c r="G14" s="4" t="s">
        <v>27</v>
      </c>
      <c r="H14" s="4" t="s">
        <v>28</v>
      </c>
      <c r="I14" s="4" t="s">
        <v>28</v>
      </c>
      <c r="J14" s="4" t="s">
        <v>28</v>
      </c>
      <c r="K14" s="4" t="s">
        <v>29</v>
      </c>
      <c r="L14" s="4" t="s">
        <v>34</v>
      </c>
      <c r="N14" s="4" t="s">
        <v>39</v>
      </c>
      <c r="O14" s="4" t="s">
        <v>50</v>
      </c>
      <c r="P14" s="4" t="s">
        <v>31</v>
      </c>
      <c r="Q14" s="4" t="s">
        <v>26</v>
      </c>
      <c r="R14" s="5" t="s">
        <v>87</v>
      </c>
      <c r="S14" s="5"/>
      <c r="U14" s="4">
        <v>3</v>
      </c>
      <c r="V14" s="17" t="s">
        <v>88</v>
      </c>
    </row>
    <row r="15" spans="1:22" s="4" customFormat="1" ht="16.5">
      <c r="A15" s="4" t="str">
        <f t="shared" si="0"/>
        <v>GL-0014</v>
      </c>
      <c r="B15" s="4" t="s">
        <v>89</v>
      </c>
      <c r="C15" s="4" t="s">
        <v>23</v>
      </c>
      <c r="D15" s="4" t="s">
        <v>90</v>
      </c>
      <c r="E15" s="4" t="s">
        <v>91</v>
      </c>
      <c r="F15" s="4" t="s">
        <v>92</v>
      </c>
      <c r="G15" s="4" t="s">
        <v>27</v>
      </c>
      <c r="H15" s="4" t="s">
        <v>28</v>
      </c>
      <c r="I15" s="4" t="s">
        <v>28</v>
      </c>
      <c r="J15" s="4" t="s">
        <v>28</v>
      </c>
      <c r="K15" s="4" t="s">
        <v>72</v>
      </c>
      <c r="L15" s="4" t="s">
        <v>28</v>
      </c>
      <c r="M15" s="4" t="s">
        <v>93</v>
      </c>
      <c r="N15" s="4" t="s">
        <v>94</v>
      </c>
      <c r="P15" s="4" t="s">
        <v>31</v>
      </c>
      <c r="Q15" s="4" t="s">
        <v>95</v>
      </c>
      <c r="R15" s="3" t="s">
        <v>96</v>
      </c>
      <c r="U15" s="4">
        <v>3</v>
      </c>
      <c r="V15" s="17" t="s">
        <v>97</v>
      </c>
    </row>
    <row r="16" spans="1:22" s="4" customFormat="1" ht="16.5">
      <c r="A16" s="4" t="str">
        <f t="shared" si="0"/>
        <v>GL-0015</v>
      </c>
      <c r="B16" s="4" t="s">
        <v>98</v>
      </c>
      <c r="C16" s="4" t="s">
        <v>23</v>
      </c>
      <c r="D16" s="4" t="s">
        <v>90</v>
      </c>
      <c r="E16" s="4" t="s">
        <v>91</v>
      </c>
      <c r="F16" s="4" t="s">
        <v>92</v>
      </c>
      <c r="G16" s="4" t="s">
        <v>27</v>
      </c>
      <c r="H16" s="4" t="s">
        <v>28</v>
      </c>
      <c r="I16" s="4" t="s">
        <v>28</v>
      </c>
      <c r="J16" s="4" t="s">
        <v>28</v>
      </c>
      <c r="K16" s="4" t="s">
        <v>72</v>
      </c>
      <c r="L16" s="4" t="s">
        <v>28</v>
      </c>
      <c r="M16" s="4" t="s">
        <v>93</v>
      </c>
      <c r="N16" s="4" t="s">
        <v>94</v>
      </c>
      <c r="P16" s="4" t="s">
        <v>31</v>
      </c>
      <c r="Q16" s="4" t="s">
        <v>95</v>
      </c>
      <c r="R16" s="5" t="s">
        <v>99</v>
      </c>
      <c r="S16" s="5"/>
      <c r="U16" s="4">
        <v>3</v>
      </c>
      <c r="V16" s="17" t="s">
        <v>100</v>
      </c>
    </row>
    <row r="17" spans="1:22" s="4" customFormat="1" ht="16.5">
      <c r="A17" s="4" t="str">
        <f t="shared" si="0"/>
        <v>GL-0016</v>
      </c>
      <c r="B17" s="4" t="s">
        <v>101</v>
      </c>
      <c r="C17" s="4" t="s">
        <v>23</v>
      </c>
      <c r="D17" s="4" t="s">
        <v>90</v>
      </c>
      <c r="E17" s="4" t="s">
        <v>91</v>
      </c>
      <c r="F17" s="4" t="s">
        <v>92</v>
      </c>
      <c r="G17" s="4" t="s">
        <v>27</v>
      </c>
      <c r="H17" s="4" t="s">
        <v>28</v>
      </c>
      <c r="I17" s="4" t="s">
        <v>28</v>
      </c>
      <c r="J17" s="4" t="s">
        <v>28</v>
      </c>
      <c r="K17" s="4" t="s">
        <v>72</v>
      </c>
      <c r="L17" s="4" t="s">
        <v>28</v>
      </c>
      <c r="M17" s="4" t="s">
        <v>93</v>
      </c>
      <c r="N17" s="4" t="s">
        <v>41</v>
      </c>
      <c r="P17" s="4" t="s">
        <v>31</v>
      </c>
      <c r="Q17" s="4" t="s">
        <v>95</v>
      </c>
      <c r="R17" s="3" t="s">
        <v>96</v>
      </c>
      <c r="U17" s="4">
        <v>3</v>
      </c>
      <c r="V17" s="17" t="s">
        <v>102</v>
      </c>
    </row>
    <row r="18" spans="1:22" s="4" customFormat="1" ht="16.5">
      <c r="A18" s="4" t="str">
        <f t="shared" si="0"/>
        <v>GL-0017</v>
      </c>
      <c r="B18" s="4" t="s">
        <v>103</v>
      </c>
      <c r="C18" s="4" t="s">
        <v>23</v>
      </c>
      <c r="D18" s="4" t="s">
        <v>90</v>
      </c>
      <c r="E18" s="4" t="s">
        <v>91</v>
      </c>
      <c r="F18" s="4" t="s">
        <v>92</v>
      </c>
      <c r="G18" s="4" t="s">
        <v>27</v>
      </c>
      <c r="H18" s="4" t="s">
        <v>28</v>
      </c>
      <c r="I18" s="4" t="s">
        <v>28</v>
      </c>
      <c r="J18" s="4" t="s">
        <v>28</v>
      </c>
      <c r="K18" s="4" t="s">
        <v>72</v>
      </c>
      <c r="L18" s="4" t="s">
        <v>28</v>
      </c>
      <c r="M18" s="4" t="s">
        <v>93</v>
      </c>
      <c r="N18" s="4" t="s">
        <v>94</v>
      </c>
      <c r="P18" s="4" t="s">
        <v>31</v>
      </c>
      <c r="Q18" s="4" t="s">
        <v>95</v>
      </c>
      <c r="R18" s="3" t="s">
        <v>96</v>
      </c>
      <c r="U18" s="4">
        <v>3</v>
      </c>
      <c r="V18" s="17" t="s">
        <v>104</v>
      </c>
    </row>
    <row r="19" spans="1:22" s="4" customFormat="1" ht="16.5">
      <c r="A19" s="4" t="str">
        <f t="shared" si="0"/>
        <v>GL-0018</v>
      </c>
      <c r="B19" s="4" t="s">
        <v>105</v>
      </c>
      <c r="C19" s="4" t="s">
        <v>23</v>
      </c>
      <c r="D19" s="4" t="s">
        <v>90</v>
      </c>
      <c r="E19" s="4" t="s">
        <v>91</v>
      </c>
      <c r="F19" s="4" t="s">
        <v>92</v>
      </c>
      <c r="G19" s="4" t="s">
        <v>27</v>
      </c>
      <c r="H19" s="4" t="s">
        <v>28</v>
      </c>
      <c r="I19" s="4" t="s">
        <v>28</v>
      </c>
      <c r="J19" s="4" t="s">
        <v>28</v>
      </c>
      <c r="K19" s="4" t="s">
        <v>72</v>
      </c>
      <c r="L19" s="4" t="s">
        <v>28</v>
      </c>
      <c r="M19" s="4" t="s">
        <v>93</v>
      </c>
      <c r="N19" s="4" t="s">
        <v>39</v>
      </c>
      <c r="P19" s="4" t="s">
        <v>31</v>
      </c>
      <c r="Q19" s="4" t="s">
        <v>95</v>
      </c>
      <c r="R19" s="5" t="s">
        <v>106</v>
      </c>
      <c r="S19" s="5"/>
      <c r="U19" s="4">
        <v>3</v>
      </c>
      <c r="V19" s="17" t="s">
        <v>107</v>
      </c>
    </row>
    <row r="20" spans="1:22" s="4" customFormat="1" ht="16.5">
      <c r="A20" s="4" t="str">
        <f t="shared" si="0"/>
        <v>GL-0019</v>
      </c>
      <c r="B20" s="4" t="s">
        <v>108</v>
      </c>
      <c r="C20" s="4" t="s">
        <v>23</v>
      </c>
      <c r="D20" s="4" t="s">
        <v>55</v>
      </c>
      <c r="E20" s="4" t="s">
        <v>25</v>
      </c>
      <c r="F20" s="4" t="s">
        <v>109</v>
      </c>
      <c r="G20" s="4" t="s">
        <v>27</v>
      </c>
      <c r="H20" s="4" t="s">
        <v>28</v>
      </c>
      <c r="I20" s="4" t="s">
        <v>28</v>
      </c>
      <c r="J20" s="4" t="s">
        <v>28</v>
      </c>
      <c r="K20" s="4" t="s">
        <v>29</v>
      </c>
      <c r="L20" s="4" t="s">
        <v>34</v>
      </c>
      <c r="M20" s="4" t="s">
        <v>110</v>
      </c>
      <c r="N20" s="4" t="s">
        <v>30</v>
      </c>
      <c r="P20" s="4" t="s">
        <v>31</v>
      </c>
      <c r="Q20" s="4" t="s">
        <v>26</v>
      </c>
      <c r="R20" s="3" t="s">
        <v>108</v>
      </c>
      <c r="S20" s="3" t="s">
        <v>111</v>
      </c>
      <c r="T20" s="4" t="s">
        <v>28</v>
      </c>
      <c r="U20" s="4">
        <v>3</v>
      </c>
      <c r="V20" s="17" t="s">
        <v>112</v>
      </c>
    </row>
    <row r="21" spans="1:22" s="6" customFormat="1" ht="16.5">
      <c r="A21" s="4" t="str">
        <f t="shared" si="0"/>
        <v>GL-0020</v>
      </c>
      <c r="B21" s="4" t="s">
        <v>113</v>
      </c>
      <c r="C21" s="4" t="s">
        <v>23</v>
      </c>
      <c r="D21" s="4" t="s">
        <v>24</v>
      </c>
      <c r="E21" s="4" t="s">
        <v>25</v>
      </c>
      <c r="F21" s="4" t="s">
        <v>114</v>
      </c>
      <c r="G21" s="4" t="s">
        <v>27</v>
      </c>
      <c r="H21" s="4" t="s">
        <v>28</v>
      </c>
      <c r="I21" s="4" t="s">
        <v>28</v>
      </c>
      <c r="J21" s="4" t="s">
        <v>28</v>
      </c>
      <c r="K21" s="4" t="s">
        <v>29</v>
      </c>
      <c r="L21" s="4" t="s">
        <v>34</v>
      </c>
      <c r="M21" s="4" t="s">
        <v>68</v>
      </c>
      <c r="N21" s="4" t="s">
        <v>41</v>
      </c>
      <c r="O21" s="4"/>
      <c r="P21" s="4" t="s">
        <v>24</v>
      </c>
      <c r="Q21" s="4" t="s">
        <v>67</v>
      </c>
      <c r="R21" s="4"/>
      <c r="S21" s="4"/>
      <c r="T21" s="4" t="s">
        <v>34</v>
      </c>
      <c r="U21" s="4">
        <v>3</v>
      </c>
      <c r="V21" s="17" t="s">
        <v>115</v>
      </c>
    </row>
    <row r="22" spans="1:22" s="4" customFormat="1" ht="16.5">
      <c r="A22" s="4" t="str">
        <f t="shared" si="0"/>
        <v>GL-0021</v>
      </c>
      <c r="B22" s="4" t="s">
        <v>116</v>
      </c>
      <c r="C22" s="4" t="s">
        <v>23</v>
      </c>
      <c r="D22" s="4" t="s">
        <v>24</v>
      </c>
      <c r="E22" s="4" t="s">
        <v>91</v>
      </c>
      <c r="F22" s="4" t="s">
        <v>114</v>
      </c>
      <c r="G22" s="4" t="s">
        <v>27</v>
      </c>
      <c r="H22" s="4" t="s">
        <v>28</v>
      </c>
      <c r="I22" s="4" t="s">
        <v>28</v>
      </c>
      <c r="J22" s="4" t="s">
        <v>28</v>
      </c>
      <c r="K22" s="4" t="s">
        <v>117</v>
      </c>
      <c r="L22" s="4" t="s">
        <v>34</v>
      </c>
      <c r="M22" s="4" t="s">
        <v>118</v>
      </c>
      <c r="N22" s="4" t="s">
        <v>39</v>
      </c>
      <c r="P22" s="4" t="s">
        <v>24</v>
      </c>
      <c r="Q22" s="4" t="s">
        <v>119</v>
      </c>
      <c r="R22" s="5" t="s">
        <v>120</v>
      </c>
      <c r="S22" s="3" t="s">
        <v>120</v>
      </c>
      <c r="T22" s="4" t="s">
        <v>34</v>
      </c>
      <c r="U22" s="4">
        <v>3</v>
      </c>
      <c r="V22" s="17" t="s">
        <v>121</v>
      </c>
    </row>
    <row r="23" spans="1:22" s="4" customFormat="1" ht="16.5">
      <c r="A23" s="4" t="str">
        <f t="shared" si="0"/>
        <v>GL-0022</v>
      </c>
      <c r="B23" s="4" t="s">
        <v>122</v>
      </c>
      <c r="C23" s="4" t="s">
        <v>23</v>
      </c>
      <c r="D23" s="4" t="s">
        <v>67</v>
      </c>
      <c r="E23" s="4" t="s">
        <v>91</v>
      </c>
      <c r="F23" s="4" t="s">
        <v>67</v>
      </c>
      <c r="G23" s="4" t="s">
        <v>27</v>
      </c>
      <c r="H23" s="4" t="s">
        <v>28</v>
      </c>
      <c r="I23" s="4" t="s">
        <v>28</v>
      </c>
      <c r="J23" s="4" t="s">
        <v>28</v>
      </c>
      <c r="K23" s="4" t="s">
        <v>29</v>
      </c>
      <c r="L23" s="4" t="s">
        <v>28</v>
      </c>
      <c r="N23" s="4" t="s">
        <v>41</v>
      </c>
      <c r="P23" s="4" t="s">
        <v>24</v>
      </c>
      <c r="Q23" s="4" t="s">
        <v>67</v>
      </c>
      <c r="R23" s="5" t="s">
        <v>123</v>
      </c>
      <c r="S23" s="3" t="s">
        <v>124</v>
      </c>
      <c r="T23" s="4" t="s">
        <v>28</v>
      </c>
      <c r="U23" s="4">
        <v>3</v>
      </c>
      <c r="V23" s="17" t="s">
        <v>125</v>
      </c>
    </row>
    <row r="24" spans="1:22" s="4" customFormat="1" ht="16.5">
      <c r="A24" s="4" t="str">
        <f t="shared" si="0"/>
        <v>GL-0023</v>
      </c>
      <c r="B24" s="4" t="s">
        <v>126</v>
      </c>
      <c r="C24" s="4" t="s">
        <v>23</v>
      </c>
      <c r="D24" s="4" t="s">
        <v>55</v>
      </c>
      <c r="E24" s="4" t="s">
        <v>60</v>
      </c>
      <c r="F24" s="4" t="s">
        <v>26</v>
      </c>
      <c r="G24" s="4" t="s">
        <v>27</v>
      </c>
      <c r="H24" s="4" t="s">
        <v>28</v>
      </c>
      <c r="I24" s="4" t="s">
        <v>28</v>
      </c>
      <c r="J24" s="4" t="s">
        <v>28</v>
      </c>
      <c r="K24" s="4" t="s">
        <v>29</v>
      </c>
      <c r="L24" s="4" t="s">
        <v>28</v>
      </c>
      <c r="M24" s="4" t="s">
        <v>127</v>
      </c>
      <c r="N24" s="4" t="s">
        <v>39</v>
      </c>
      <c r="O24" s="4" t="s">
        <v>28</v>
      </c>
      <c r="P24" s="4" t="s">
        <v>24</v>
      </c>
      <c r="Q24" s="4" t="s">
        <v>67</v>
      </c>
      <c r="R24" s="3" t="s">
        <v>128</v>
      </c>
      <c r="S24" s="3" t="s">
        <v>129</v>
      </c>
      <c r="T24" s="4" t="s">
        <v>28</v>
      </c>
      <c r="U24" s="4">
        <v>3</v>
      </c>
      <c r="V24" s="17" t="s">
        <v>130</v>
      </c>
    </row>
    <row r="25" spans="1:22" s="4" customFormat="1" ht="16.5">
      <c r="A25" s="4" t="str">
        <f t="shared" si="0"/>
        <v>GL-0024</v>
      </c>
      <c r="B25" s="4" t="s">
        <v>131</v>
      </c>
      <c r="C25" s="4" t="s">
        <v>23</v>
      </c>
      <c r="D25" s="4" t="s">
        <v>67</v>
      </c>
      <c r="E25" s="4" t="s">
        <v>25</v>
      </c>
      <c r="F25" s="4" t="s">
        <v>67</v>
      </c>
      <c r="G25" s="4" t="s">
        <v>27</v>
      </c>
      <c r="H25" s="4" t="s">
        <v>28</v>
      </c>
      <c r="I25" s="4" t="s">
        <v>28</v>
      </c>
      <c r="J25" s="4" t="s">
        <v>28</v>
      </c>
      <c r="K25" s="4" t="s">
        <v>29</v>
      </c>
      <c r="L25" s="4" t="s">
        <v>28</v>
      </c>
      <c r="N25" s="4" t="s">
        <v>39</v>
      </c>
      <c r="O25" s="4" t="s">
        <v>28</v>
      </c>
      <c r="P25" s="4" t="s">
        <v>24</v>
      </c>
      <c r="Q25" s="4" t="s">
        <v>67</v>
      </c>
      <c r="R25" s="5" t="s">
        <v>84</v>
      </c>
      <c r="S25" s="3" t="s">
        <v>84</v>
      </c>
      <c r="T25" s="4" t="s">
        <v>34</v>
      </c>
      <c r="U25" s="4">
        <v>3</v>
      </c>
      <c r="V25" s="17" t="s">
        <v>132</v>
      </c>
    </row>
    <row r="26" spans="1:22" s="4" customFormat="1" ht="16.5">
      <c r="A26" s="4" t="str">
        <f t="shared" si="0"/>
        <v>GL-0025</v>
      </c>
      <c r="B26" s="4" t="s">
        <v>133</v>
      </c>
      <c r="C26" s="4" t="s">
        <v>23</v>
      </c>
      <c r="D26" s="4" t="s">
        <v>67</v>
      </c>
      <c r="E26" s="4" t="s">
        <v>25</v>
      </c>
      <c r="F26" s="4" t="s">
        <v>67</v>
      </c>
      <c r="G26" s="4" t="s">
        <v>27</v>
      </c>
      <c r="H26" s="4" t="s">
        <v>28</v>
      </c>
      <c r="I26" s="4" t="s">
        <v>28</v>
      </c>
      <c r="J26" s="4" t="s">
        <v>28</v>
      </c>
      <c r="K26" s="4" t="s">
        <v>134</v>
      </c>
      <c r="L26" s="4" t="s">
        <v>28</v>
      </c>
      <c r="N26" s="4" t="s">
        <v>41</v>
      </c>
      <c r="P26" s="4" t="s">
        <v>24</v>
      </c>
      <c r="Q26" s="4" t="s">
        <v>67</v>
      </c>
      <c r="T26" s="4" t="s">
        <v>34</v>
      </c>
      <c r="U26" s="4">
        <v>3</v>
      </c>
      <c r="V26" s="17" t="s">
        <v>132</v>
      </c>
    </row>
    <row r="27" spans="1:22" s="4" customFormat="1" ht="16.5">
      <c r="A27" s="4" t="str">
        <f t="shared" si="0"/>
        <v>GL-0026</v>
      </c>
      <c r="B27" s="4" t="s">
        <v>135</v>
      </c>
      <c r="C27" s="4" t="s">
        <v>23</v>
      </c>
      <c r="D27" s="4" t="s">
        <v>24</v>
      </c>
      <c r="E27" s="4" t="s">
        <v>136</v>
      </c>
      <c r="F27" s="4" t="s">
        <v>137</v>
      </c>
      <c r="G27" s="4" t="s">
        <v>27</v>
      </c>
      <c r="H27" s="4" t="s">
        <v>28</v>
      </c>
      <c r="I27" s="4" t="s">
        <v>28</v>
      </c>
      <c r="J27" s="4" t="s">
        <v>28</v>
      </c>
      <c r="K27" s="4" t="s">
        <v>29</v>
      </c>
      <c r="L27" s="4" t="s">
        <v>28</v>
      </c>
      <c r="N27" s="4" t="s">
        <v>39</v>
      </c>
      <c r="O27" s="4" t="s">
        <v>28</v>
      </c>
      <c r="P27" s="4" t="s">
        <v>31</v>
      </c>
      <c r="Q27" s="4" t="s">
        <v>138</v>
      </c>
      <c r="R27" s="3" t="s">
        <v>139</v>
      </c>
      <c r="S27" s="3" t="s">
        <v>140</v>
      </c>
      <c r="T27" s="4" t="s">
        <v>28</v>
      </c>
      <c r="U27" s="4">
        <v>3</v>
      </c>
      <c r="V27" s="17" t="s">
        <v>141</v>
      </c>
    </row>
    <row r="28" spans="1:22" s="4" customFormat="1" ht="16.5">
      <c r="A28" s="4" t="str">
        <f t="shared" si="0"/>
        <v>GL-0027</v>
      </c>
      <c r="B28" s="4" t="s">
        <v>142</v>
      </c>
      <c r="C28" s="4" t="s">
        <v>23</v>
      </c>
      <c r="D28" s="4" t="s">
        <v>24</v>
      </c>
      <c r="E28" s="4" t="s">
        <v>25</v>
      </c>
      <c r="F28" s="4" t="s">
        <v>137</v>
      </c>
      <c r="G28" s="4" t="s">
        <v>27</v>
      </c>
      <c r="H28" s="4" t="s">
        <v>28</v>
      </c>
      <c r="I28" s="4" t="s">
        <v>28</v>
      </c>
      <c r="J28" s="4" t="s">
        <v>28</v>
      </c>
      <c r="K28" s="4" t="s">
        <v>29</v>
      </c>
      <c r="L28" s="4" t="s">
        <v>28</v>
      </c>
      <c r="M28" s="4" t="s">
        <v>118</v>
      </c>
      <c r="N28" s="4" t="s">
        <v>39</v>
      </c>
      <c r="P28" s="4" t="s">
        <v>31</v>
      </c>
      <c r="Q28" s="4" t="s">
        <v>138</v>
      </c>
      <c r="R28" s="3" t="s">
        <v>139</v>
      </c>
      <c r="S28" s="3" t="s">
        <v>140</v>
      </c>
      <c r="T28" s="4" t="s">
        <v>28</v>
      </c>
      <c r="U28" s="4">
        <v>4</v>
      </c>
      <c r="V28" s="17" t="s">
        <v>143</v>
      </c>
    </row>
    <row r="29" spans="1:22" s="4" customFormat="1" ht="16.5">
      <c r="A29" s="4" t="str">
        <f t="shared" si="0"/>
        <v>GL-0028</v>
      </c>
      <c r="B29" s="4" t="s">
        <v>144</v>
      </c>
      <c r="C29" s="4" t="s">
        <v>23</v>
      </c>
      <c r="D29" s="4" t="s">
        <v>24</v>
      </c>
      <c r="E29" s="4" t="s">
        <v>60</v>
      </c>
      <c r="F29" s="4" t="s">
        <v>137</v>
      </c>
      <c r="G29" s="4" t="s">
        <v>27</v>
      </c>
      <c r="H29" s="4" t="s">
        <v>28</v>
      </c>
      <c r="I29" s="4" t="s">
        <v>28</v>
      </c>
      <c r="J29" s="4" t="s">
        <v>28</v>
      </c>
      <c r="K29" s="4" t="s">
        <v>29</v>
      </c>
      <c r="L29" s="4" t="s">
        <v>28</v>
      </c>
      <c r="N29" s="4" t="s">
        <v>39</v>
      </c>
      <c r="O29" s="4" t="s">
        <v>28</v>
      </c>
      <c r="P29" s="4" t="s">
        <v>31</v>
      </c>
      <c r="Q29" s="4" t="s">
        <v>138</v>
      </c>
      <c r="R29" s="3" t="s">
        <v>139</v>
      </c>
      <c r="S29" s="3" t="s">
        <v>140</v>
      </c>
      <c r="T29" s="4" t="s">
        <v>28</v>
      </c>
      <c r="U29" s="4">
        <v>3</v>
      </c>
      <c r="V29" s="17" t="s">
        <v>145</v>
      </c>
    </row>
    <row r="30" spans="1:22" s="4" customFormat="1" ht="16.5">
      <c r="A30" s="4" t="str">
        <f t="shared" si="0"/>
        <v>GL-0029</v>
      </c>
      <c r="B30" s="4" t="s">
        <v>146</v>
      </c>
      <c r="C30" s="4" t="s">
        <v>23</v>
      </c>
      <c r="D30" s="4" t="s">
        <v>24</v>
      </c>
      <c r="E30" s="4" t="s">
        <v>136</v>
      </c>
      <c r="F30" s="4" t="s">
        <v>114</v>
      </c>
      <c r="G30" s="4" t="s">
        <v>147</v>
      </c>
      <c r="H30" s="4" t="s">
        <v>28</v>
      </c>
      <c r="I30" s="4" t="s">
        <v>28</v>
      </c>
      <c r="J30" s="4" t="s">
        <v>28</v>
      </c>
      <c r="K30" s="4" t="s">
        <v>29</v>
      </c>
      <c r="L30" s="4" t="s">
        <v>28</v>
      </c>
      <c r="N30" s="4" t="s">
        <v>39</v>
      </c>
      <c r="O30" s="4" t="s">
        <v>28</v>
      </c>
      <c r="P30" s="4" t="s">
        <v>24</v>
      </c>
      <c r="Q30" s="4" t="s">
        <v>62</v>
      </c>
      <c r="R30" s="3" t="s">
        <v>148</v>
      </c>
      <c r="S30" s="3" t="s">
        <v>149</v>
      </c>
      <c r="T30" s="4" t="s">
        <v>28</v>
      </c>
      <c r="U30" s="4">
        <v>3</v>
      </c>
      <c r="V30" s="17" t="s">
        <v>150</v>
      </c>
    </row>
    <row r="31" spans="1:22" s="4" customFormat="1" ht="16.5">
      <c r="A31" s="4" t="str">
        <f t="shared" si="0"/>
        <v>GL-0030</v>
      </c>
      <c r="B31" s="4" t="s">
        <v>151</v>
      </c>
      <c r="C31" s="4" t="s">
        <v>23</v>
      </c>
      <c r="D31" s="4" t="s">
        <v>55</v>
      </c>
      <c r="E31" s="4" t="s">
        <v>25</v>
      </c>
      <c r="F31" s="4" t="s">
        <v>26</v>
      </c>
      <c r="G31" s="4" t="s">
        <v>27</v>
      </c>
      <c r="H31" s="4" t="s">
        <v>28</v>
      </c>
      <c r="I31" s="4" t="s">
        <v>28</v>
      </c>
      <c r="J31" s="4" t="s">
        <v>28</v>
      </c>
      <c r="K31" s="4" t="s">
        <v>72</v>
      </c>
      <c r="L31" s="4" t="s">
        <v>28</v>
      </c>
      <c r="M31" s="4" t="s">
        <v>152</v>
      </c>
      <c r="N31" s="4" t="s">
        <v>30</v>
      </c>
      <c r="O31" s="4" t="s">
        <v>28</v>
      </c>
      <c r="P31" s="4" t="s">
        <v>31</v>
      </c>
      <c r="Q31" s="4" t="s">
        <v>26</v>
      </c>
      <c r="R31" s="5"/>
      <c r="S31" s="5"/>
      <c r="T31" s="4" t="s">
        <v>28</v>
      </c>
      <c r="U31" s="4">
        <v>3</v>
      </c>
      <c r="V31" s="17" t="s">
        <v>153</v>
      </c>
    </row>
    <row r="32" spans="1:22" s="4" customFormat="1" ht="16.5">
      <c r="A32" s="4" t="str">
        <f t="shared" si="0"/>
        <v>GL-0031</v>
      </c>
      <c r="B32" s="4" t="s">
        <v>154</v>
      </c>
      <c r="C32" s="4" t="s">
        <v>23</v>
      </c>
      <c r="D32" s="4" t="s">
        <v>67</v>
      </c>
      <c r="E32" s="4" t="s">
        <v>25</v>
      </c>
      <c r="F32" s="4" t="s">
        <v>67</v>
      </c>
      <c r="G32" s="4" t="s">
        <v>27</v>
      </c>
      <c r="H32" s="4" t="s">
        <v>28</v>
      </c>
      <c r="I32" s="4" t="s">
        <v>28</v>
      </c>
      <c r="J32" s="4" t="s">
        <v>28</v>
      </c>
      <c r="K32" s="4" t="s">
        <v>155</v>
      </c>
      <c r="L32" s="4" t="s">
        <v>34</v>
      </c>
      <c r="M32" s="4" t="s">
        <v>156</v>
      </c>
      <c r="N32" s="4" t="s">
        <v>39</v>
      </c>
      <c r="P32" s="4" t="s">
        <v>24</v>
      </c>
      <c r="Q32" s="4" t="s">
        <v>67</v>
      </c>
      <c r="R32" s="3" t="s">
        <v>157</v>
      </c>
      <c r="S32" s="5"/>
      <c r="T32" s="4" t="s">
        <v>28</v>
      </c>
      <c r="U32" s="4">
        <v>3</v>
      </c>
      <c r="V32" s="17" t="s">
        <v>158</v>
      </c>
    </row>
    <row r="33" spans="1:22" s="4" customFormat="1" ht="16.5">
      <c r="A33" s="4" t="str">
        <f t="shared" si="0"/>
        <v>GL-0032</v>
      </c>
      <c r="B33" s="4" t="s">
        <v>159</v>
      </c>
      <c r="C33" s="4" t="s">
        <v>23</v>
      </c>
      <c r="D33" s="4" t="s">
        <v>90</v>
      </c>
      <c r="E33" s="4" t="s">
        <v>25</v>
      </c>
      <c r="F33" s="4" t="s">
        <v>160</v>
      </c>
      <c r="G33" s="4" t="s">
        <v>161</v>
      </c>
      <c r="H33" s="4" t="s">
        <v>34</v>
      </c>
      <c r="I33" s="4" t="s">
        <v>28</v>
      </c>
      <c r="J33" s="4" t="s">
        <v>28</v>
      </c>
      <c r="K33" s="4" t="s">
        <v>162</v>
      </c>
      <c r="L33" s="4" t="s">
        <v>28</v>
      </c>
      <c r="N33" s="4" t="s">
        <v>94</v>
      </c>
      <c r="P33" s="4" t="s">
        <v>31</v>
      </c>
      <c r="Q33" s="4" t="s">
        <v>163</v>
      </c>
      <c r="R33" s="5" t="s">
        <v>164</v>
      </c>
      <c r="S33" s="3" t="s">
        <v>165</v>
      </c>
      <c r="T33" s="4" t="s">
        <v>28</v>
      </c>
      <c r="U33" s="4">
        <v>3</v>
      </c>
      <c r="V33" s="17" t="s">
        <v>166</v>
      </c>
    </row>
    <row r="34" spans="1:22" s="4" customFormat="1">
      <c r="A34" s="4" t="str">
        <f t="shared" si="0"/>
        <v>GL-0033</v>
      </c>
      <c r="B34" s="4" t="s">
        <v>167</v>
      </c>
      <c r="C34" s="4" t="s">
        <v>23</v>
      </c>
      <c r="D34" s="4" t="s">
        <v>90</v>
      </c>
      <c r="E34" s="4" t="s">
        <v>25</v>
      </c>
      <c r="F34" s="4" t="s">
        <v>160</v>
      </c>
      <c r="G34" s="4" t="s">
        <v>161</v>
      </c>
      <c r="H34" s="4" t="s">
        <v>34</v>
      </c>
      <c r="I34" s="4" t="s">
        <v>28</v>
      </c>
      <c r="J34" s="4" t="s">
        <v>28</v>
      </c>
      <c r="K34" s="4" t="s">
        <v>162</v>
      </c>
      <c r="L34" s="4" t="s">
        <v>28</v>
      </c>
      <c r="N34" s="4" t="s">
        <v>94</v>
      </c>
      <c r="P34" s="4" t="s">
        <v>31</v>
      </c>
      <c r="Q34" s="4" t="s">
        <v>163</v>
      </c>
      <c r="R34" s="5" t="s">
        <v>168</v>
      </c>
      <c r="S34" s="3" t="s">
        <v>165</v>
      </c>
      <c r="T34" s="4" t="s">
        <v>28</v>
      </c>
      <c r="U34" s="4">
        <v>3</v>
      </c>
      <c r="V34" s="18" t="s">
        <v>169</v>
      </c>
    </row>
    <row r="35" spans="1:22" s="4" customFormat="1">
      <c r="A35" s="4" t="str">
        <f t="shared" si="0"/>
        <v>GL-0034</v>
      </c>
      <c r="B35" s="4" t="s">
        <v>170</v>
      </c>
      <c r="C35" s="4" t="s">
        <v>23</v>
      </c>
      <c r="D35" s="4" t="s">
        <v>90</v>
      </c>
      <c r="E35" s="4" t="s">
        <v>25</v>
      </c>
      <c r="F35" s="4" t="s">
        <v>160</v>
      </c>
      <c r="G35" s="4" t="s">
        <v>161</v>
      </c>
      <c r="H35" s="4" t="s">
        <v>34</v>
      </c>
      <c r="I35" s="4" t="s">
        <v>28</v>
      </c>
      <c r="J35" s="4" t="s">
        <v>28</v>
      </c>
      <c r="K35" s="4" t="s">
        <v>162</v>
      </c>
      <c r="L35" s="4" t="s">
        <v>28</v>
      </c>
      <c r="N35" s="4" t="s">
        <v>94</v>
      </c>
      <c r="P35" s="4" t="s">
        <v>31</v>
      </c>
      <c r="Q35" s="4" t="s">
        <v>163</v>
      </c>
      <c r="R35" s="5" t="s">
        <v>171</v>
      </c>
      <c r="S35" s="3" t="s">
        <v>165</v>
      </c>
      <c r="T35" s="4" t="s">
        <v>28</v>
      </c>
      <c r="U35" s="4">
        <v>3</v>
      </c>
      <c r="V35" s="18" t="s">
        <v>172</v>
      </c>
    </row>
    <row r="36" spans="1:22" s="4" customFormat="1" ht="16.5">
      <c r="A36" s="4" t="str">
        <f t="shared" si="0"/>
        <v>GL-0035</v>
      </c>
      <c r="B36" s="4" t="s">
        <v>173</v>
      </c>
      <c r="C36" s="4" t="s">
        <v>23</v>
      </c>
      <c r="D36" s="4" t="s">
        <v>90</v>
      </c>
      <c r="E36" s="4" t="s">
        <v>25</v>
      </c>
      <c r="F36" s="4" t="s">
        <v>160</v>
      </c>
      <c r="G36" s="4" t="s">
        <v>161</v>
      </c>
      <c r="H36" s="4" t="s">
        <v>34</v>
      </c>
      <c r="I36" s="4" t="s">
        <v>28</v>
      </c>
      <c r="J36" s="4" t="s">
        <v>28</v>
      </c>
      <c r="K36" s="4" t="s">
        <v>162</v>
      </c>
      <c r="L36" s="4" t="s">
        <v>28</v>
      </c>
      <c r="N36" s="4" t="s">
        <v>41</v>
      </c>
      <c r="P36" s="4" t="s">
        <v>31</v>
      </c>
      <c r="Q36" s="4" t="s">
        <v>163</v>
      </c>
      <c r="R36" s="5" t="s">
        <v>174</v>
      </c>
      <c r="S36" s="3" t="s">
        <v>165</v>
      </c>
      <c r="T36" s="4" t="s">
        <v>28</v>
      </c>
      <c r="U36" s="4">
        <v>3</v>
      </c>
      <c r="V36" s="17" t="s">
        <v>175</v>
      </c>
    </row>
    <row r="37" spans="1:22" s="4" customFormat="1" ht="16.5">
      <c r="A37" s="4" t="str">
        <f t="shared" si="0"/>
        <v>GL-0036</v>
      </c>
      <c r="B37" s="4" t="s">
        <v>176</v>
      </c>
      <c r="C37" s="4" t="s">
        <v>23</v>
      </c>
      <c r="D37" s="4" t="s">
        <v>90</v>
      </c>
      <c r="E37" s="4" t="s">
        <v>25</v>
      </c>
      <c r="F37" s="4" t="s">
        <v>160</v>
      </c>
      <c r="G37" s="4" t="s">
        <v>161</v>
      </c>
      <c r="H37" s="4" t="s">
        <v>34</v>
      </c>
      <c r="I37" s="4" t="s">
        <v>28</v>
      </c>
      <c r="J37" s="4" t="s">
        <v>28</v>
      </c>
      <c r="K37" s="4" t="s">
        <v>162</v>
      </c>
      <c r="L37" s="4" t="s">
        <v>28</v>
      </c>
      <c r="N37" s="4" t="s">
        <v>94</v>
      </c>
      <c r="P37" s="4" t="s">
        <v>31</v>
      </c>
      <c r="Q37" s="4" t="s">
        <v>163</v>
      </c>
      <c r="R37" s="5" t="s">
        <v>177</v>
      </c>
      <c r="S37" s="3" t="s">
        <v>165</v>
      </c>
      <c r="T37" s="4" t="s">
        <v>28</v>
      </c>
      <c r="U37" s="4">
        <v>3</v>
      </c>
      <c r="V37" s="17" t="s">
        <v>178</v>
      </c>
    </row>
    <row r="38" spans="1:22" s="4" customFormat="1" ht="16.5">
      <c r="A38" s="4" t="str">
        <f t="shared" si="0"/>
        <v>GL-0037</v>
      </c>
      <c r="B38" s="4" t="s">
        <v>179</v>
      </c>
      <c r="C38" s="4" t="s">
        <v>23</v>
      </c>
      <c r="D38" s="4" t="s">
        <v>90</v>
      </c>
      <c r="E38" s="4" t="s">
        <v>25</v>
      </c>
      <c r="F38" s="4" t="s">
        <v>160</v>
      </c>
      <c r="G38" s="4" t="s">
        <v>161</v>
      </c>
      <c r="H38" s="4" t="s">
        <v>34</v>
      </c>
      <c r="I38" s="4" t="s">
        <v>28</v>
      </c>
      <c r="J38" s="4" t="s">
        <v>28</v>
      </c>
      <c r="K38" s="4" t="s">
        <v>162</v>
      </c>
      <c r="L38" s="4" t="s">
        <v>28</v>
      </c>
      <c r="N38" s="4" t="s">
        <v>94</v>
      </c>
      <c r="P38" s="4" t="s">
        <v>31</v>
      </c>
      <c r="Q38" s="4" t="s">
        <v>163</v>
      </c>
      <c r="R38" s="5" t="s">
        <v>180</v>
      </c>
      <c r="S38" s="3" t="s">
        <v>165</v>
      </c>
      <c r="T38" s="4" t="s">
        <v>28</v>
      </c>
      <c r="U38" s="4">
        <v>3</v>
      </c>
      <c r="V38" s="17" t="s">
        <v>181</v>
      </c>
    </row>
    <row r="39" spans="1:22" s="4" customFormat="1" ht="16.5">
      <c r="A39" s="4" t="str">
        <f t="shared" si="0"/>
        <v>GL-0038</v>
      </c>
      <c r="B39" s="4" t="s">
        <v>182</v>
      </c>
      <c r="C39" s="4" t="s">
        <v>23</v>
      </c>
      <c r="D39" s="4" t="s">
        <v>90</v>
      </c>
      <c r="E39" s="4" t="s">
        <v>25</v>
      </c>
      <c r="F39" s="4" t="s">
        <v>160</v>
      </c>
      <c r="G39" s="4" t="s">
        <v>161</v>
      </c>
      <c r="H39" s="4" t="s">
        <v>34</v>
      </c>
      <c r="I39" s="4" t="s">
        <v>28</v>
      </c>
      <c r="J39" s="4" t="s">
        <v>28</v>
      </c>
      <c r="K39" s="4" t="s">
        <v>162</v>
      </c>
      <c r="L39" s="4" t="s">
        <v>28</v>
      </c>
      <c r="N39" s="4" t="s">
        <v>94</v>
      </c>
      <c r="P39" s="4" t="s">
        <v>31</v>
      </c>
      <c r="Q39" s="4" t="s">
        <v>163</v>
      </c>
      <c r="R39" s="5" t="s">
        <v>183</v>
      </c>
      <c r="S39" s="3" t="s">
        <v>165</v>
      </c>
      <c r="T39" s="4" t="s">
        <v>28</v>
      </c>
      <c r="U39" s="4">
        <v>3</v>
      </c>
      <c r="V39" s="17" t="s">
        <v>184</v>
      </c>
    </row>
    <row r="40" spans="1:22" s="4" customFormat="1" ht="16.5">
      <c r="A40" s="4" t="str">
        <f t="shared" si="0"/>
        <v>GL-0039</v>
      </c>
      <c r="B40" s="4" t="s">
        <v>185</v>
      </c>
      <c r="C40" s="4" t="s">
        <v>23</v>
      </c>
      <c r="D40" s="4" t="s">
        <v>90</v>
      </c>
      <c r="E40" s="4" t="s">
        <v>25</v>
      </c>
      <c r="F40" s="4" t="s">
        <v>160</v>
      </c>
      <c r="G40" s="4" t="s">
        <v>161</v>
      </c>
      <c r="H40" s="4" t="s">
        <v>34</v>
      </c>
      <c r="I40" s="4" t="s">
        <v>28</v>
      </c>
      <c r="J40" s="4" t="s">
        <v>28</v>
      </c>
      <c r="K40" s="4" t="s">
        <v>162</v>
      </c>
      <c r="L40" s="4" t="s">
        <v>28</v>
      </c>
      <c r="N40" s="4" t="s">
        <v>94</v>
      </c>
      <c r="P40" s="4" t="s">
        <v>31</v>
      </c>
      <c r="Q40" s="4" t="s">
        <v>163</v>
      </c>
      <c r="R40" s="5" t="s">
        <v>186</v>
      </c>
      <c r="S40" s="3" t="s">
        <v>165</v>
      </c>
      <c r="T40" s="4" t="s">
        <v>28</v>
      </c>
      <c r="U40" s="4">
        <v>3</v>
      </c>
      <c r="V40" s="17" t="s">
        <v>187</v>
      </c>
    </row>
    <row r="41" spans="1:22" s="4" customFormat="1" ht="16.5">
      <c r="A41" s="4" t="str">
        <f t="shared" si="0"/>
        <v>GL-0040</v>
      </c>
      <c r="B41" s="4" t="s">
        <v>188</v>
      </c>
      <c r="C41" s="4" t="s">
        <v>23</v>
      </c>
      <c r="D41" s="4" t="s">
        <v>90</v>
      </c>
      <c r="E41" s="4" t="s">
        <v>25</v>
      </c>
      <c r="F41" s="4" t="s">
        <v>160</v>
      </c>
      <c r="G41" s="4" t="s">
        <v>161</v>
      </c>
      <c r="H41" s="4" t="s">
        <v>34</v>
      </c>
      <c r="I41" s="4" t="s">
        <v>28</v>
      </c>
      <c r="J41" s="4" t="s">
        <v>28</v>
      </c>
      <c r="K41" s="4" t="s">
        <v>162</v>
      </c>
      <c r="L41" s="4" t="s">
        <v>28</v>
      </c>
      <c r="N41" s="4" t="s">
        <v>94</v>
      </c>
      <c r="P41" s="4" t="s">
        <v>31</v>
      </c>
      <c r="Q41" s="4" t="s">
        <v>163</v>
      </c>
      <c r="R41" s="5" t="s">
        <v>189</v>
      </c>
      <c r="S41" s="3" t="s">
        <v>165</v>
      </c>
      <c r="T41" s="4" t="s">
        <v>28</v>
      </c>
      <c r="U41" s="4">
        <v>3</v>
      </c>
      <c r="V41" s="17" t="s">
        <v>190</v>
      </c>
    </row>
    <row r="42" spans="1:22" s="4" customFormat="1" ht="16.5">
      <c r="A42" s="4" t="str">
        <f t="shared" si="0"/>
        <v>GL-0041</v>
      </c>
      <c r="B42" s="4" t="s">
        <v>191</v>
      </c>
      <c r="C42" s="4" t="s">
        <v>23</v>
      </c>
      <c r="D42" s="4" t="s">
        <v>90</v>
      </c>
      <c r="E42" s="4" t="s">
        <v>25</v>
      </c>
      <c r="F42" s="4" t="s">
        <v>160</v>
      </c>
      <c r="G42" s="4" t="s">
        <v>161</v>
      </c>
      <c r="H42" s="4" t="s">
        <v>34</v>
      </c>
      <c r="I42" s="4" t="s">
        <v>28</v>
      </c>
      <c r="J42" s="4" t="s">
        <v>28</v>
      </c>
      <c r="K42" s="4" t="s">
        <v>162</v>
      </c>
      <c r="L42" s="4" t="s">
        <v>28</v>
      </c>
      <c r="N42" s="4" t="s">
        <v>94</v>
      </c>
      <c r="P42" s="4" t="s">
        <v>31</v>
      </c>
      <c r="Q42" s="4" t="s">
        <v>163</v>
      </c>
      <c r="R42" s="5" t="s">
        <v>192</v>
      </c>
      <c r="S42" s="3" t="s">
        <v>165</v>
      </c>
      <c r="T42" s="4" t="s">
        <v>28</v>
      </c>
      <c r="U42" s="4">
        <v>3</v>
      </c>
      <c r="V42" s="17" t="s">
        <v>193</v>
      </c>
    </row>
    <row r="43" spans="1:22" s="4" customFormat="1" ht="16.5">
      <c r="A43" s="4" t="str">
        <f t="shared" si="0"/>
        <v>GL-0042</v>
      </c>
      <c r="B43" s="4" t="s">
        <v>194</v>
      </c>
      <c r="C43" s="4" t="s">
        <v>23</v>
      </c>
      <c r="D43" s="4" t="s">
        <v>90</v>
      </c>
      <c r="E43" s="4" t="s">
        <v>25</v>
      </c>
      <c r="F43" s="4" t="s">
        <v>160</v>
      </c>
      <c r="G43" s="4" t="s">
        <v>161</v>
      </c>
      <c r="H43" s="4" t="s">
        <v>34</v>
      </c>
      <c r="I43" s="4" t="s">
        <v>28</v>
      </c>
      <c r="J43" s="4" t="s">
        <v>28</v>
      </c>
      <c r="K43" s="4" t="s">
        <v>162</v>
      </c>
      <c r="L43" s="4" t="s">
        <v>28</v>
      </c>
      <c r="N43" s="4" t="s">
        <v>94</v>
      </c>
      <c r="P43" s="4" t="s">
        <v>31</v>
      </c>
      <c r="Q43" s="4" t="s">
        <v>163</v>
      </c>
      <c r="R43" s="5" t="s">
        <v>195</v>
      </c>
      <c r="S43" s="3" t="s">
        <v>165</v>
      </c>
      <c r="T43" s="4" t="s">
        <v>28</v>
      </c>
      <c r="U43" s="4">
        <v>3</v>
      </c>
      <c r="V43" s="17" t="s">
        <v>196</v>
      </c>
    </row>
    <row r="44" spans="1:22" s="4" customFormat="1" ht="16.5">
      <c r="A44" s="4" t="str">
        <f t="shared" si="0"/>
        <v>GL-0043</v>
      </c>
      <c r="B44" s="4" t="s">
        <v>197</v>
      </c>
      <c r="C44" s="4" t="s">
        <v>23</v>
      </c>
      <c r="D44" s="4" t="s">
        <v>90</v>
      </c>
      <c r="E44" s="4" t="s">
        <v>25</v>
      </c>
      <c r="F44" s="4" t="s">
        <v>160</v>
      </c>
      <c r="G44" s="4" t="s">
        <v>161</v>
      </c>
      <c r="H44" s="4" t="s">
        <v>34</v>
      </c>
      <c r="I44" s="4" t="s">
        <v>28</v>
      </c>
      <c r="J44" s="4" t="s">
        <v>28</v>
      </c>
      <c r="K44" s="4" t="s">
        <v>29</v>
      </c>
      <c r="L44" s="4" t="s">
        <v>28</v>
      </c>
      <c r="N44" s="4" t="s">
        <v>41</v>
      </c>
      <c r="P44" s="4" t="s">
        <v>31</v>
      </c>
      <c r="Q44" s="4" t="s">
        <v>163</v>
      </c>
      <c r="R44" s="5" t="s">
        <v>198</v>
      </c>
      <c r="S44" s="3" t="s">
        <v>165</v>
      </c>
      <c r="U44" s="4">
        <v>0</v>
      </c>
      <c r="V44" s="17" t="s">
        <v>199</v>
      </c>
    </row>
    <row r="45" spans="1:22" s="4" customFormat="1" ht="16.5">
      <c r="A45" s="4" t="str">
        <f t="shared" si="0"/>
        <v>GL-0044</v>
      </c>
      <c r="B45" s="4" t="s">
        <v>200</v>
      </c>
      <c r="C45" s="4" t="s">
        <v>23</v>
      </c>
      <c r="D45" s="4" t="s">
        <v>201</v>
      </c>
      <c r="E45" s="4" t="s">
        <v>136</v>
      </c>
      <c r="F45" s="4" t="s">
        <v>109</v>
      </c>
      <c r="G45" s="4" t="s">
        <v>147</v>
      </c>
      <c r="H45" s="4" t="s">
        <v>28</v>
      </c>
      <c r="I45" s="4" t="s">
        <v>28</v>
      </c>
      <c r="J45" s="4" t="s">
        <v>28</v>
      </c>
      <c r="K45" s="4" t="s">
        <v>29</v>
      </c>
      <c r="L45" s="4" t="s">
        <v>34</v>
      </c>
      <c r="M45" s="4" t="s">
        <v>202</v>
      </c>
      <c r="N45" s="4" t="s">
        <v>41</v>
      </c>
      <c r="P45" s="4" t="s">
        <v>31</v>
      </c>
      <c r="Q45" s="4" t="s">
        <v>26</v>
      </c>
      <c r="R45" s="3" t="s">
        <v>203</v>
      </c>
      <c r="S45" s="3" t="s">
        <v>204</v>
      </c>
      <c r="T45" s="4" t="s">
        <v>28</v>
      </c>
      <c r="U45" s="4">
        <v>3</v>
      </c>
      <c r="V45" s="17" t="s">
        <v>205</v>
      </c>
    </row>
    <row r="46" spans="1:22" s="4" customFormat="1" ht="16.5">
      <c r="A46" s="4" t="str">
        <f t="shared" si="0"/>
        <v>GL-0045</v>
      </c>
      <c r="B46" s="4" t="s">
        <v>206</v>
      </c>
      <c r="C46" s="4" t="s">
        <v>23</v>
      </c>
      <c r="D46" s="4" t="s">
        <v>55</v>
      </c>
      <c r="E46" s="4" t="s">
        <v>136</v>
      </c>
      <c r="F46" s="4" t="s">
        <v>109</v>
      </c>
      <c r="G46" s="4" t="s">
        <v>27</v>
      </c>
      <c r="H46" s="4" t="s">
        <v>28</v>
      </c>
      <c r="I46" s="4" t="s">
        <v>28</v>
      </c>
      <c r="J46" s="4" t="s">
        <v>28</v>
      </c>
      <c r="K46" s="4" t="s">
        <v>29</v>
      </c>
      <c r="L46" s="4" t="s">
        <v>28</v>
      </c>
      <c r="N46" s="4" t="s">
        <v>41</v>
      </c>
      <c r="P46" s="4" t="s">
        <v>24</v>
      </c>
      <c r="Q46" s="4" t="s">
        <v>62</v>
      </c>
      <c r="R46" s="5" t="s">
        <v>207</v>
      </c>
      <c r="S46" s="3" t="s">
        <v>208</v>
      </c>
      <c r="T46" s="4" t="s">
        <v>28</v>
      </c>
      <c r="U46" s="4">
        <v>3</v>
      </c>
      <c r="V46" s="17" t="s">
        <v>209</v>
      </c>
    </row>
    <row r="47" spans="1:22" ht="16.5">
      <c r="A47" s="4" t="str">
        <f t="shared" si="0"/>
        <v>GL-0046</v>
      </c>
      <c r="B47" s="4" t="s">
        <v>210</v>
      </c>
      <c r="C47" s="4" t="s">
        <v>23</v>
      </c>
      <c r="D47" s="4" t="s">
        <v>55</v>
      </c>
      <c r="E47" s="4" t="s">
        <v>136</v>
      </c>
      <c r="F47" s="4" t="s">
        <v>109</v>
      </c>
      <c r="G47" s="4" t="s">
        <v>27</v>
      </c>
      <c r="H47" s="4" t="s">
        <v>28</v>
      </c>
      <c r="I47" s="4" t="s">
        <v>28</v>
      </c>
      <c r="J47" s="4" t="s">
        <v>28</v>
      </c>
      <c r="K47" s="4" t="s">
        <v>29</v>
      </c>
      <c r="L47" s="4" t="s">
        <v>34</v>
      </c>
      <c r="M47" s="4" t="s">
        <v>202</v>
      </c>
      <c r="N47" s="4" t="s">
        <v>41</v>
      </c>
      <c r="O47" s="4"/>
      <c r="P47" s="4" t="s">
        <v>24</v>
      </c>
      <c r="Q47" s="4" t="s">
        <v>62</v>
      </c>
      <c r="R47" s="5" t="s">
        <v>211</v>
      </c>
      <c r="S47" s="3" t="s">
        <v>212</v>
      </c>
      <c r="T47" s="4" t="s">
        <v>28</v>
      </c>
      <c r="U47" s="4">
        <v>3</v>
      </c>
      <c r="V47" s="17" t="s">
        <v>213</v>
      </c>
    </row>
    <row r="48" spans="1:22" s="4" customFormat="1" ht="16.5">
      <c r="A48" s="4" t="str">
        <f t="shared" si="0"/>
        <v>GL-0047</v>
      </c>
      <c r="B48" s="4" t="s">
        <v>214</v>
      </c>
      <c r="C48" s="4" t="s">
        <v>23</v>
      </c>
      <c r="D48" s="4" t="s">
        <v>55</v>
      </c>
      <c r="E48" s="4" t="s">
        <v>136</v>
      </c>
      <c r="F48" s="4" t="s">
        <v>109</v>
      </c>
      <c r="G48" s="4" t="s">
        <v>27</v>
      </c>
      <c r="H48" s="4" t="s">
        <v>28</v>
      </c>
      <c r="I48" s="4" t="s">
        <v>28</v>
      </c>
      <c r="J48" s="4" t="s">
        <v>28</v>
      </c>
      <c r="K48" s="4" t="s">
        <v>29</v>
      </c>
      <c r="L48" s="4" t="s">
        <v>34</v>
      </c>
      <c r="M48" s="4" t="s">
        <v>215</v>
      </c>
      <c r="N48" s="4" t="s">
        <v>41</v>
      </c>
      <c r="P48" s="4" t="s">
        <v>24</v>
      </c>
      <c r="Q48" s="4" t="s">
        <v>62</v>
      </c>
      <c r="R48" s="5" t="s">
        <v>216</v>
      </c>
      <c r="S48" s="5"/>
      <c r="T48" s="4" t="s">
        <v>28</v>
      </c>
      <c r="U48" s="4">
        <v>3</v>
      </c>
      <c r="V48" s="17" t="s">
        <v>217</v>
      </c>
    </row>
    <row r="49" spans="1:22" s="4" customFormat="1" ht="16.5">
      <c r="A49" s="4" t="str">
        <f t="shared" si="0"/>
        <v>GL-0048</v>
      </c>
      <c r="B49" s="4" t="s">
        <v>218</v>
      </c>
      <c r="C49" s="4" t="s">
        <v>23</v>
      </c>
      <c r="D49" s="4" t="s">
        <v>24</v>
      </c>
      <c r="E49" s="4" t="s">
        <v>136</v>
      </c>
      <c r="F49" s="4" t="s">
        <v>109</v>
      </c>
      <c r="G49" s="4" t="s">
        <v>147</v>
      </c>
      <c r="H49" s="4" t="s">
        <v>28</v>
      </c>
      <c r="I49" s="4" t="s">
        <v>28</v>
      </c>
      <c r="J49" s="4" t="s">
        <v>28</v>
      </c>
      <c r="K49" s="4" t="s">
        <v>29</v>
      </c>
      <c r="L49" s="4" t="s">
        <v>28</v>
      </c>
      <c r="N49" s="4" t="s">
        <v>39</v>
      </c>
      <c r="P49" s="4" t="s">
        <v>24</v>
      </c>
      <c r="Q49" s="4" t="s">
        <v>62</v>
      </c>
      <c r="R49" s="5" t="s">
        <v>219</v>
      </c>
      <c r="S49" s="3" t="s">
        <v>220</v>
      </c>
      <c r="T49" s="4" t="s">
        <v>28</v>
      </c>
      <c r="U49" s="4">
        <v>3</v>
      </c>
      <c r="V49" s="17" t="s">
        <v>221</v>
      </c>
    </row>
    <row r="50" spans="1:22" ht="16.5">
      <c r="A50" s="4" t="str">
        <f t="shared" si="0"/>
        <v>GL-0049</v>
      </c>
      <c r="B50" s="4" t="s">
        <v>222</v>
      </c>
      <c r="C50" s="4" t="s">
        <v>23</v>
      </c>
      <c r="D50" s="4" t="s">
        <v>55</v>
      </c>
      <c r="E50" s="4" t="s">
        <v>136</v>
      </c>
      <c r="F50" s="4" t="s">
        <v>71</v>
      </c>
      <c r="G50" s="4" t="s">
        <v>147</v>
      </c>
      <c r="H50" s="4" t="s">
        <v>28</v>
      </c>
      <c r="I50" s="4" t="s">
        <v>28</v>
      </c>
      <c r="J50" s="4" t="s">
        <v>28</v>
      </c>
      <c r="K50" s="4" t="s">
        <v>72</v>
      </c>
      <c r="L50" s="4" t="s">
        <v>34</v>
      </c>
      <c r="M50" s="4" t="s">
        <v>223</v>
      </c>
      <c r="N50" s="4" t="s">
        <v>41</v>
      </c>
      <c r="O50" s="4"/>
      <c r="P50" s="4" t="s">
        <v>31</v>
      </c>
      <c r="Q50" s="4" t="s">
        <v>74</v>
      </c>
      <c r="R50" s="5" t="s">
        <v>224</v>
      </c>
      <c r="S50" s="3" t="s">
        <v>225</v>
      </c>
      <c r="T50" s="4" t="s">
        <v>28</v>
      </c>
      <c r="U50" s="4">
        <v>3</v>
      </c>
      <c r="V50" s="17" t="s">
        <v>226</v>
      </c>
    </row>
    <row r="51" spans="1:22" s="4" customFormat="1" ht="16.5">
      <c r="A51" s="4" t="str">
        <f t="shared" si="0"/>
        <v>GL-0050</v>
      </c>
      <c r="B51" s="4" t="s">
        <v>227</v>
      </c>
      <c r="C51" s="4" t="s">
        <v>23</v>
      </c>
      <c r="D51" s="4" t="s">
        <v>24</v>
      </c>
      <c r="E51" s="4" t="s">
        <v>136</v>
      </c>
      <c r="F51" s="4" t="s">
        <v>67</v>
      </c>
      <c r="G51" s="4" t="s">
        <v>147</v>
      </c>
      <c r="H51" s="4" t="s">
        <v>28</v>
      </c>
      <c r="I51" s="4" t="s">
        <v>28</v>
      </c>
      <c r="J51" s="4" t="s">
        <v>28</v>
      </c>
      <c r="K51" s="4" t="s">
        <v>29</v>
      </c>
      <c r="L51" s="4" t="s">
        <v>28</v>
      </c>
      <c r="M51" s="4" t="s">
        <v>202</v>
      </c>
      <c r="N51" s="4" t="s">
        <v>39</v>
      </c>
      <c r="P51" s="4" t="s">
        <v>24</v>
      </c>
      <c r="Q51" s="4" t="s">
        <v>67</v>
      </c>
      <c r="R51" s="5" t="s">
        <v>228</v>
      </c>
      <c r="S51" s="5"/>
      <c r="T51" s="4" t="s">
        <v>28</v>
      </c>
      <c r="U51" s="4">
        <v>3</v>
      </c>
      <c r="V51" s="17" t="s">
        <v>229</v>
      </c>
    </row>
    <row r="52" spans="1:22" s="4" customFormat="1" ht="16.5">
      <c r="A52" s="4" t="str">
        <f t="shared" si="0"/>
        <v>GL-0051</v>
      </c>
      <c r="B52" s="4" t="s">
        <v>230</v>
      </c>
      <c r="C52" s="4" t="s">
        <v>23</v>
      </c>
      <c r="D52" s="4" t="s">
        <v>24</v>
      </c>
      <c r="E52" s="4" t="s">
        <v>136</v>
      </c>
      <c r="F52" s="4" t="s">
        <v>67</v>
      </c>
      <c r="G52" s="4" t="s">
        <v>147</v>
      </c>
      <c r="H52" s="4" t="s">
        <v>28</v>
      </c>
      <c r="I52" s="4" t="s">
        <v>28</v>
      </c>
      <c r="J52" s="4" t="s">
        <v>28</v>
      </c>
      <c r="K52" s="4" t="s">
        <v>29</v>
      </c>
      <c r="L52" s="4" t="s">
        <v>28</v>
      </c>
      <c r="N52" s="4" t="s">
        <v>39</v>
      </c>
      <c r="P52" s="4" t="s">
        <v>24</v>
      </c>
      <c r="Q52" s="4" t="s">
        <v>67</v>
      </c>
      <c r="R52" s="5" t="s">
        <v>231</v>
      </c>
      <c r="S52" s="5"/>
      <c r="T52" s="4" t="s">
        <v>28</v>
      </c>
      <c r="U52" s="4">
        <v>3</v>
      </c>
      <c r="V52" s="17" t="s">
        <v>232</v>
      </c>
    </row>
    <row r="53" spans="1:22">
      <c r="B53" t="s">
        <v>233</v>
      </c>
      <c r="C53" t="s">
        <v>37</v>
      </c>
      <c r="D53" t="s">
        <v>24</v>
      </c>
      <c r="E53" t="s">
        <v>25</v>
      </c>
      <c r="H53" t="s">
        <v>34</v>
      </c>
      <c r="N53" t="s">
        <v>39</v>
      </c>
    </row>
    <row r="54" spans="1:22">
      <c r="B54" t="s">
        <v>234</v>
      </c>
      <c r="C54" t="s">
        <v>37</v>
      </c>
      <c r="D54" t="s">
        <v>67</v>
      </c>
      <c r="E54" t="s">
        <v>25</v>
      </c>
      <c r="H54" t="s">
        <v>28</v>
      </c>
      <c r="N54" t="s">
        <v>39</v>
      </c>
    </row>
    <row r="55" spans="1:22">
      <c r="B55" t="s">
        <v>235</v>
      </c>
      <c r="C55" t="s">
        <v>37</v>
      </c>
      <c r="D55" t="s">
        <v>67</v>
      </c>
      <c r="E55" t="s">
        <v>25</v>
      </c>
      <c r="H55" t="s">
        <v>28</v>
      </c>
      <c r="N55" t="s">
        <v>39</v>
      </c>
    </row>
    <row r="56" spans="1:22">
      <c r="B56" t="s">
        <v>236</v>
      </c>
      <c r="C56" t="s">
        <v>37</v>
      </c>
      <c r="D56" t="s">
        <v>67</v>
      </c>
      <c r="E56" t="s">
        <v>25</v>
      </c>
      <c r="H56" t="s">
        <v>28</v>
      </c>
      <c r="N56" t="s">
        <v>39</v>
      </c>
    </row>
    <row r="57" spans="1:22">
      <c r="B57" t="s">
        <v>237</v>
      </c>
      <c r="C57" t="s">
        <v>37</v>
      </c>
      <c r="D57" t="s">
        <v>67</v>
      </c>
      <c r="E57" t="s">
        <v>25</v>
      </c>
      <c r="H57" t="s">
        <v>34</v>
      </c>
      <c r="N57" t="s">
        <v>39</v>
      </c>
    </row>
    <row r="58" spans="1:22" s="4" customFormat="1" ht="16.5">
      <c r="A58" s="4" t="str">
        <f t="shared" ref="A58:A65" si="1">"GL-"&amp;TEXT(ROW()-1,"0000")</f>
        <v>GL-0057</v>
      </c>
      <c r="B58" s="4" t="s">
        <v>238</v>
      </c>
      <c r="C58" s="4" t="s">
        <v>23</v>
      </c>
      <c r="D58" s="4" t="s">
        <v>67</v>
      </c>
      <c r="E58" s="4" t="s">
        <v>136</v>
      </c>
      <c r="F58" s="4" t="s">
        <v>67</v>
      </c>
      <c r="G58" s="4" t="s">
        <v>147</v>
      </c>
      <c r="H58" s="4" t="s">
        <v>28</v>
      </c>
      <c r="I58" s="4" t="s">
        <v>28</v>
      </c>
      <c r="J58" s="4" t="s">
        <v>28</v>
      </c>
      <c r="K58" s="4" t="s">
        <v>239</v>
      </c>
      <c r="L58" s="4" t="s">
        <v>28</v>
      </c>
      <c r="N58" s="4" t="s">
        <v>39</v>
      </c>
      <c r="P58" s="4" t="s">
        <v>24</v>
      </c>
      <c r="Q58" s="4" t="s">
        <v>67</v>
      </c>
      <c r="R58" s="5" t="s">
        <v>240</v>
      </c>
      <c r="S58" s="5"/>
      <c r="T58" s="4" t="s">
        <v>28</v>
      </c>
      <c r="U58" s="4">
        <v>3</v>
      </c>
      <c r="V58" s="17" t="s">
        <v>241</v>
      </c>
    </row>
    <row r="59" spans="1:22" s="4" customFormat="1" ht="16.5">
      <c r="A59" s="4" t="str">
        <f t="shared" si="1"/>
        <v>GL-0058</v>
      </c>
      <c r="B59" s="4" t="s">
        <v>242</v>
      </c>
      <c r="C59" s="4" t="s">
        <v>23</v>
      </c>
      <c r="D59" s="4" t="s">
        <v>67</v>
      </c>
      <c r="E59" s="4" t="s">
        <v>136</v>
      </c>
      <c r="F59" s="4" t="s">
        <v>67</v>
      </c>
      <c r="G59" s="4" t="s">
        <v>147</v>
      </c>
      <c r="H59" s="4" t="s">
        <v>28</v>
      </c>
      <c r="I59" s="4" t="s">
        <v>28</v>
      </c>
      <c r="J59" s="4" t="s">
        <v>28</v>
      </c>
      <c r="K59" s="4" t="s">
        <v>29</v>
      </c>
      <c r="L59" s="4" t="s">
        <v>28</v>
      </c>
      <c r="N59" s="4" t="s">
        <v>41</v>
      </c>
      <c r="P59" s="4" t="s">
        <v>24</v>
      </c>
      <c r="Q59" s="4" t="s">
        <v>67</v>
      </c>
      <c r="R59" s="5" t="s">
        <v>243</v>
      </c>
      <c r="S59" s="3" t="s">
        <v>244</v>
      </c>
      <c r="T59" s="4" t="s">
        <v>28</v>
      </c>
      <c r="U59" s="4">
        <v>3</v>
      </c>
      <c r="V59" s="17" t="s">
        <v>245</v>
      </c>
    </row>
    <row r="60" spans="1:22" s="4" customFormat="1" ht="16.5">
      <c r="A60" s="4" t="str">
        <f t="shared" si="1"/>
        <v>GL-0059</v>
      </c>
      <c r="B60" s="4" t="s">
        <v>246</v>
      </c>
      <c r="C60" s="4" t="s">
        <v>23</v>
      </c>
      <c r="D60" s="4" t="s">
        <v>67</v>
      </c>
      <c r="E60" s="4" t="s">
        <v>136</v>
      </c>
      <c r="F60" s="4" t="s">
        <v>67</v>
      </c>
      <c r="G60" s="4" t="s">
        <v>147</v>
      </c>
      <c r="H60" s="4" t="s">
        <v>28</v>
      </c>
      <c r="I60" s="4" t="s">
        <v>28</v>
      </c>
      <c r="J60" s="4" t="s">
        <v>28</v>
      </c>
      <c r="K60" s="4" t="s">
        <v>29</v>
      </c>
      <c r="L60" s="4" t="s">
        <v>34</v>
      </c>
      <c r="N60" s="4" t="s">
        <v>41</v>
      </c>
      <c r="P60" s="4" t="s">
        <v>24</v>
      </c>
      <c r="Q60" s="4" t="s">
        <v>67</v>
      </c>
      <c r="R60" s="3" t="s">
        <v>247</v>
      </c>
      <c r="S60" s="3" t="s">
        <v>248</v>
      </c>
      <c r="T60" s="4" t="s">
        <v>28</v>
      </c>
      <c r="U60" s="4">
        <v>3</v>
      </c>
      <c r="V60" s="17" t="s">
        <v>249</v>
      </c>
    </row>
    <row r="61" spans="1:22" s="4" customFormat="1" ht="16.5">
      <c r="A61" s="4" t="str">
        <f t="shared" si="1"/>
        <v>GL-0060</v>
      </c>
      <c r="B61" s="4" t="s">
        <v>250</v>
      </c>
      <c r="C61" s="4" t="s">
        <v>23</v>
      </c>
      <c r="D61" s="4" t="s">
        <v>24</v>
      </c>
      <c r="E61" s="4" t="s">
        <v>136</v>
      </c>
      <c r="F61" s="4" t="s">
        <v>67</v>
      </c>
      <c r="G61" s="4" t="s">
        <v>147</v>
      </c>
      <c r="H61" s="4" t="s">
        <v>28</v>
      </c>
      <c r="I61" s="4" t="s">
        <v>28</v>
      </c>
      <c r="J61" s="4" t="s">
        <v>28</v>
      </c>
      <c r="K61" s="4" t="s">
        <v>29</v>
      </c>
      <c r="L61" s="4" t="s">
        <v>34</v>
      </c>
      <c r="M61" s="4" t="s">
        <v>223</v>
      </c>
      <c r="N61" s="4" t="s">
        <v>41</v>
      </c>
      <c r="P61" s="4" t="s">
        <v>24</v>
      </c>
      <c r="Q61" s="4" t="s">
        <v>67</v>
      </c>
      <c r="R61" s="5" t="s">
        <v>251</v>
      </c>
      <c r="S61" s="5"/>
      <c r="T61" s="4" t="s">
        <v>28</v>
      </c>
      <c r="U61" s="4">
        <v>3</v>
      </c>
      <c r="V61" s="17" t="s">
        <v>252</v>
      </c>
    </row>
    <row r="62" spans="1:22" s="4" customFormat="1" ht="16.5">
      <c r="A62" s="4" t="str">
        <f t="shared" si="1"/>
        <v>GL-0061</v>
      </c>
      <c r="B62" s="4" t="s">
        <v>253</v>
      </c>
      <c r="C62" s="4" t="s">
        <v>23</v>
      </c>
      <c r="D62" s="4" t="s">
        <v>67</v>
      </c>
      <c r="E62" s="4" t="s">
        <v>136</v>
      </c>
      <c r="F62" s="4" t="s">
        <v>67</v>
      </c>
      <c r="G62" s="4" t="s">
        <v>27</v>
      </c>
      <c r="H62" s="4" t="s">
        <v>28</v>
      </c>
      <c r="I62" s="4" t="s">
        <v>28</v>
      </c>
      <c r="J62" s="4" t="s">
        <v>28</v>
      </c>
      <c r="K62" s="4" t="s">
        <v>29</v>
      </c>
      <c r="L62" s="4" t="s">
        <v>28</v>
      </c>
      <c r="N62" s="4" t="s">
        <v>41</v>
      </c>
      <c r="P62" s="4" t="s">
        <v>24</v>
      </c>
      <c r="Q62" s="4" t="s">
        <v>67</v>
      </c>
      <c r="R62" s="5" t="s">
        <v>254</v>
      </c>
      <c r="S62" s="3" t="s">
        <v>255</v>
      </c>
      <c r="T62" s="4" t="s">
        <v>28</v>
      </c>
      <c r="U62" s="4">
        <v>3</v>
      </c>
      <c r="V62" s="17" t="s">
        <v>256</v>
      </c>
    </row>
    <row r="63" spans="1:22" s="4" customFormat="1" ht="16.5">
      <c r="A63" s="4" t="str">
        <f t="shared" si="1"/>
        <v>GL-0062</v>
      </c>
      <c r="B63" s="4" t="s">
        <v>257</v>
      </c>
      <c r="C63" s="4" t="s">
        <v>23</v>
      </c>
      <c r="D63" s="4" t="s">
        <v>67</v>
      </c>
      <c r="E63" s="4" t="s">
        <v>136</v>
      </c>
      <c r="F63" s="4" t="s">
        <v>67</v>
      </c>
      <c r="G63" s="4" t="s">
        <v>147</v>
      </c>
      <c r="H63" s="4" t="s">
        <v>28</v>
      </c>
      <c r="I63" s="4" t="s">
        <v>28</v>
      </c>
      <c r="J63" s="4" t="s">
        <v>28</v>
      </c>
      <c r="K63" s="4" t="s">
        <v>29</v>
      </c>
      <c r="L63" s="4" t="s">
        <v>28</v>
      </c>
      <c r="M63" s="4" t="s">
        <v>118</v>
      </c>
      <c r="N63" s="4" t="s">
        <v>41</v>
      </c>
      <c r="P63" s="4" t="s">
        <v>24</v>
      </c>
      <c r="Q63" s="4" t="s">
        <v>67</v>
      </c>
      <c r="R63" s="3" t="s">
        <v>258</v>
      </c>
      <c r="S63" s="3" t="s">
        <v>259</v>
      </c>
      <c r="T63" s="4" t="s">
        <v>28</v>
      </c>
      <c r="U63" s="4">
        <v>3</v>
      </c>
      <c r="V63" s="17" t="s">
        <v>260</v>
      </c>
    </row>
    <row r="64" spans="1:22" ht="16.5">
      <c r="A64" s="4" t="str">
        <f t="shared" si="1"/>
        <v>GL-0063</v>
      </c>
      <c r="B64" s="4" t="s">
        <v>261</v>
      </c>
      <c r="C64" s="4" t="s">
        <v>23</v>
      </c>
      <c r="D64" s="4" t="s">
        <v>24</v>
      </c>
      <c r="E64" s="4" t="s">
        <v>262</v>
      </c>
      <c r="F64" s="4" t="s">
        <v>114</v>
      </c>
      <c r="G64" s="4" t="s">
        <v>147</v>
      </c>
      <c r="H64" s="4" t="s">
        <v>28</v>
      </c>
      <c r="I64" s="4" t="s">
        <v>28</v>
      </c>
      <c r="J64" s="4" t="s">
        <v>28</v>
      </c>
      <c r="K64" s="4" t="s">
        <v>263</v>
      </c>
      <c r="L64" s="4" t="s">
        <v>34</v>
      </c>
      <c r="M64" s="4" t="s">
        <v>264</v>
      </c>
      <c r="N64" s="4" t="s">
        <v>94</v>
      </c>
      <c r="O64" s="4"/>
      <c r="P64" s="4" t="s">
        <v>24</v>
      </c>
      <c r="Q64" s="4" t="s">
        <v>62</v>
      </c>
      <c r="R64" s="5" t="s">
        <v>265</v>
      </c>
      <c r="S64" s="5"/>
      <c r="T64" s="4" t="s">
        <v>28</v>
      </c>
      <c r="U64" s="4">
        <v>3</v>
      </c>
      <c r="V64" s="17" t="s">
        <v>266</v>
      </c>
    </row>
    <row r="65" spans="1:22" s="4" customFormat="1" ht="16.5">
      <c r="A65" s="4" t="str">
        <f t="shared" si="1"/>
        <v>GL-0064</v>
      </c>
      <c r="B65" s="4" t="s">
        <v>267</v>
      </c>
      <c r="C65" s="4" t="s">
        <v>23</v>
      </c>
      <c r="D65" s="4" t="s">
        <v>24</v>
      </c>
      <c r="E65" s="4" t="s">
        <v>136</v>
      </c>
      <c r="F65" s="4" t="s">
        <v>114</v>
      </c>
      <c r="G65" s="4" t="s">
        <v>147</v>
      </c>
      <c r="H65" s="4" t="s">
        <v>28</v>
      </c>
      <c r="I65" s="4" t="s">
        <v>28</v>
      </c>
      <c r="J65" s="4" t="s">
        <v>28</v>
      </c>
      <c r="K65" s="4" t="s">
        <v>29</v>
      </c>
      <c r="L65" s="4" t="s">
        <v>28</v>
      </c>
      <c r="M65" s="4" t="s">
        <v>268</v>
      </c>
      <c r="N65" s="4" t="s">
        <v>39</v>
      </c>
      <c r="P65" s="4" t="s">
        <v>24</v>
      </c>
      <c r="Q65" s="4" t="s">
        <v>62</v>
      </c>
      <c r="R65" s="5" t="s">
        <v>269</v>
      </c>
      <c r="S65" s="5"/>
      <c r="T65" s="4" t="s">
        <v>28</v>
      </c>
      <c r="U65" s="4">
        <v>3</v>
      </c>
      <c r="V65" s="17" t="s">
        <v>270</v>
      </c>
    </row>
    <row r="66" spans="1:22">
      <c r="B66" t="s">
        <v>271</v>
      </c>
      <c r="C66" t="s">
        <v>37</v>
      </c>
      <c r="D66" t="s">
        <v>24</v>
      </c>
      <c r="E66" t="s">
        <v>272</v>
      </c>
      <c r="H66" t="s">
        <v>34</v>
      </c>
      <c r="N66" t="s">
        <v>39</v>
      </c>
    </row>
    <row r="67" spans="1:22">
      <c r="B67" t="s">
        <v>273</v>
      </c>
      <c r="C67" t="s">
        <v>37</v>
      </c>
      <c r="D67" t="s">
        <v>24</v>
      </c>
      <c r="E67" t="s">
        <v>274</v>
      </c>
      <c r="H67" t="s">
        <v>34</v>
      </c>
      <c r="N67" t="s">
        <v>39</v>
      </c>
    </row>
    <row r="68" spans="1:22">
      <c r="B68" t="s">
        <v>275</v>
      </c>
      <c r="C68" t="s">
        <v>37</v>
      </c>
      <c r="D68" t="s">
        <v>67</v>
      </c>
      <c r="E68" t="s">
        <v>25</v>
      </c>
      <c r="H68" t="s">
        <v>28</v>
      </c>
      <c r="N68" t="s">
        <v>39</v>
      </c>
    </row>
    <row r="69" spans="1:22" s="4" customFormat="1" ht="16.5">
      <c r="A69" s="4" t="str">
        <f t="shared" ref="A69:A81" si="2">"GL-"&amp;TEXT(ROW()-1,"0000")</f>
        <v>GL-0068</v>
      </c>
      <c r="B69" s="4" t="s">
        <v>276</v>
      </c>
      <c r="C69" s="4" t="s">
        <v>23</v>
      </c>
      <c r="D69" s="4" t="s">
        <v>201</v>
      </c>
      <c r="E69" s="4" t="s">
        <v>262</v>
      </c>
      <c r="F69" s="4" t="s">
        <v>277</v>
      </c>
      <c r="G69" s="4" t="s">
        <v>147</v>
      </c>
      <c r="H69" s="4" t="s">
        <v>28</v>
      </c>
      <c r="I69" s="4" t="s">
        <v>28</v>
      </c>
      <c r="J69" s="4" t="s">
        <v>28</v>
      </c>
      <c r="K69" s="4" t="s">
        <v>29</v>
      </c>
      <c r="L69" s="4" t="s">
        <v>28</v>
      </c>
      <c r="N69" s="4" t="s">
        <v>39</v>
      </c>
      <c r="O69" s="4" t="s">
        <v>28</v>
      </c>
      <c r="P69" s="4" t="s">
        <v>31</v>
      </c>
      <c r="Q69" s="4" t="s">
        <v>26</v>
      </c>
      <c r="R69" s="5" t="s">
        <v>278</v>
      </c>
      <c r="S69" s="5"/>
      <c r="T69" s="4" t="s">
        <v>28</v>
      </c>
      <c r="U69" s="4">
        <v>3</v>
      </c>
      <c r="V69" s="17" t="s">
        <v>279</v>
      </c>
    </row>
    <row r="70" spans="1:22" s="4" customFormat="1" ht="16.5">
      <c r="A70" s="4" t="str">
        <f t="shared" si="2"/>
        <v>GL-0069</v>
      </c>
      <c r="B70" s="4" t="s">
        <v>280</v>
      </c>
      <c r="C70" s="4" t="s">
        <v>23</v>
      </c>
      <c r="D70" s="4" t="s">
        <v>38</v>
      </c>
      <c r="E70" s="4" t="s">
        <v>262</v>
      </c>
      <c r="F70" s="4" t="s">
        <v>38</v>
      </c>
      <c r="G70" s="4" t="s">
        <v>147</v>
      </c>
      <c r="H70" s="4" t="s">
        <v>28</v>
      </c>
      <c r="I70" s="4" t="s">
        <v>28</v>
      </c>
      <c r="J70" s="4" t="s">
        <v>28</v>
      </c>
      <c r="K70" s="4" t="s">
        <v>281</v>
      </c>
      <c r="L70" s="4" t="s">
        <v>34</v>
      </c>
      <c r="M70" s="4" t="s">
        <v>282</v>
      </c>
      <c r="N70" s="4" t="s">
        <v>94</v>
      </c>
      <c r="P70" s="4" t="s">
        <v>31</v>
      </c>
      <c r="Q70" s="4" t="s">
        <v>26</v>
      </c>
      <c r="R70" s="5" t="s">
        <v>283</v>
      </c>
      <c r="S70" s="5"/>
      <c r="T70" s="4" t="s">
        <v>28</v>
      </c>
      <c r="U70" s="4">
        <v>3</v>
      </c>
      <c r="V70" s="17" t="s">
        <v>284</v>
      </c>
    </row>
    <row r="71" spans="1:22" s="4" customFormat="1" ht="16.5">
      <c r="A71" s="4" t="str">
        <f t="shared" si="2"/>
        <v>GL-0070</v>
      </c>
      <c r="B71" s="4" t="s">
        <v>285</v>
      </c>
      <c r="C71" s="4" t="s">
        <v>23</v>
      </c>
      <c r="D71" s="4" t="s">
        <v>38</v>
      </c>
      <c r="E71" s="4" t="s">
        <v>136</v>
      </c>
      <c r="F71" s="4" t="s">
        <v>38</v>
      </c>
      <c r="G71" s="4" t="s">
        <v>27</v>
      </c>
      <c r="H71" s="4" t="s">
        <v>28</v>
      </c>
      <c r="I71" s="4" t="s">
        <v>28</v>
      </c>
      <c r="J71" s="4" t="s">
        <v>28</v>
      </c>
      <c r="K71" s="4" t="s">
        <v>29</v>
      </c>
      <c r="L71" s="4" t="s">
        <v>34</v>
      </c>
      <c r="M71" s="4" t="s">
        <v>286</v>
      </c>
      <c r="N71" s="4" t="s">
        <v>41</v>
      </c>
      <c r="P71" s="4" t="s">
        <v>38</v>
      </c>
      <c r="Q71" s="4" t="s">
        <v>287</v>
      </c>
      <c r="R71" s="3" t="s">
        <v>288</v>
      </c>
      <c r="U71" s="4">
        <v>3</v>
      </c>
      <c r="V71" s="17" t="s">
        <v>289</v>
      </c>
    </row>
    <row r="72" spans="1:22" ht="16.5">
      <c r="A72" s="4" t="str">
        <f t="shared" si="2"/>
        <v>GL-0071</v>
      </c>
      <c r="B72" s="4" t="s">
        <v>290</v>
      </c>
      <c r="C72" s="4" t="s">
        <v>23</v>
      </c>
      <c r="D72" s="4" t="s">
        <v>24</v>
      </c>
      <c r="E72" s="4" t="s">
        <v>262</v>
      </c>
      <c r="F72" s="4" t="s">
        <v>26</v>
      </c>
      <c r="G72" s="4" t="s">
        <v>147</v>
      </c>
      <c r="H72" s="4" t="s">
        <v>28</v>
      </c>
      <c r="I72" s="4" t="s">
        <v>28</v>
      </c>
      <c r="J72" s="4" t="s">
        <v>28</v>
      </c>
      <c r="K72" s="4" t="s">
        <v>29</v>
      </c>
      <c r="L72" s="4" t="s">
        <v>28</v>
      </c>
      <c r="M72" s="4" t="s">
        <v>291</v>
      </c>
      <c r="N72" s="4" t="s">
        <v>41</v>
      </c>
      <c r="O72" s="4"/>
      <c r="P72" s="4" t="s">
        <v>31</v>
      </c>
      <c r="Q72" s="4" t="s">
        <v>26</v>
      </c>
      <c r="R72" s="5" t="s">
        <v>292</v>
      </c>
      <c r="S72" s="5"/>
      <c r="T72" s="4" t="s">
        <v>28</v>
      </c>
      <c r="U72" s="4">
        <v>3</v>
      </c>
      <c r="V72" s="17" t="s">
        <v>293</v>
      </c>
    </row>
    <row r="73" spans="1:22" s="4" customFormat="1" ht="16.5">
      <c r="A73" s="4" t="str">
        <f t="shared" si="2"/>
        <v>GL-0072</v>
      </c>
      <c r="B73" s="4" t="s">
        <v>294</v>
      </c>
      <c r="C73" s="4" t="s">
        <v>23</v>
      </c>
      <c r="D73" s="4" t="s">
        <v>55</v>
      </c>
      <c r="E73" s="4" t="s">
        <v>136</v>
      </c>
      <c r="F73" s="4" t="s">
        <v>26</v>
      </c>
      <c r="G73" s="4" t="s">
        <v>147</v>
      </c>
      <c r="H73" s="4" t="s">
        <v>28</v>
      </c>
      <c r="I73" s="4" t="s">
        <v>28</v>
      </c>
      <c r="J73" s="4" t="s">
        <v>28</v>
      </c>
      <c r="K73" s="4" t="s">
        <v>29</v>
      </c>
      <c r="L73" s="4" t="s">
        <v>34</v>
      </c>
      <c r="N73" s="4" t="s">
        <v>41</v>
      </c>
      <c r="P73" s="4" t="s">
        <v>31</v>
      </c>
      <c r="Q73" s="4" t="s">
        <v>26</v>
      </c>
      <c r="R73" s="5" t="s">
        <v>295</v>
      </c>
      <c r="S73" s="3" t="s">
        <v>296</v>
      </c>
      <c r="T73" s="4" t="s">
        <v>28</v>
      </c>
      <c r="U73" s="4">
        <v>3</v>
      </c>
      <c r="V73" s="17" t="s">
        <v>297</v>
      </c>
    </row>
    <row r="74" spans="1:22" s="4" customFormat="1" ht="16.5">
      <c r="A74" s="4" t="str">
        <f t="shared" si="2"/>
        <v>GL-0073</v>
      </c>
      <c r="B74" s="4" t="s">
        <v>298</v>
      </c>
      <c r="C74" s="4" t="s">
        <v>23</v>
      </c>
      <c r="D74" s="4" t="s">
        <v>24</v>
      </c>
      <c r="E74" s="4" t="s">
        <v>136</v>
      </c>
      <c r="F74" s="4" t="s">
        <v>26</v>
      </c>
      <c r="G74" s="4" t="s">
        <v>27</v>
      </c>
      <c r="H74" s="4" t="s">
        <v>28</v>
      </c>
      <c r="I74" s="4" t="s">
        <v>28</v>
      </c>
      <c r="J74" s="4" t="s">
        <v>28</v>
      </c>
      <c r="K74" s="4" t="s">
        <v>29</v>
      </c>
      <c r="L74" s="4" t="s">
        <v>28</v>
      </c>
      <c r="M74" s="4" t="s">
        <v>299</v>
      </c>
      <c r="N74" s="4" t="s">
        <v>39</v>
      </c>
      <c r="P74" s="4" t="s">
        <v>24</v>
      </c>
      <c r="Q74" s="4" t="s">
        <v>67</v>
      </c>
      <c r="R74" s="3" t="s">
        <v>128</v>
      </c>
      <c r="S74" s="3" t="s">
        <v>129</v>
      </c>
      <c r="U74" s="4">
        <v>3</v>
      </c>
      <c r="V74" s="17" t="s">
        <v>130</v>
      </c>
    </row>
    <row r="75" spans="1:22" ht="16.5">
      <c r="A75" s="4" t="str">
        <f t="shared" si="2"/>
        <v>GL-0074</v>
      </c>
      <c r="B75" s="4" t="s">
        <v>300</v>
      </c>
      <c r="C75" s="4" t="s">
        <v>23</v>
      </c>
      <c r="D75" s="4" t="s">
        <v>55</v>
      </c>
      <c r="E75" s="4" t="s">
        <v>136</v>
      </c>
      <c r="F75" s="4" t="s">
        <v>26</v>
      </c>
      <c r="G75" s="4" t="s">
        <v>147</v>
      </c>
      <c r="H75" s="4" t="s">
        <v>28</v>
      </c>
      <c r="I75" s="4" t="s">
        <v>28</v>
      </c>
      <c r="J75" s="4" t="s">
        <v>28</v>
      </c>
      <c r="K75" s="4" t="s">
        <v>301</v>
      </c>
      <c r="L75" s="4" t="s">
        <v>28</v>
      </c>
      <c r="M75" s="4"/>
      <c r="N75" s="4" t="s">
        <v>39</v>
      </c>
      <c r="O75" s="4"/>
      <c r="P75" s="4" t="s">
        <v>31</v>
      </c>
      <c r="Q75" s="4" t="s">
        <v>26</v>
      </c>
      <c r="R75" s="3" t="s">
        <v>302</v>
      </c>
      <c r="S75" s="3" t="s">
        <v>302</v>
      </c>
      <c r="T75" s="4"/>
      <c r="U75" s="4">
        <v>3</v>
      </c>
      <c r="V75" s="17" t="s">
        <v>303</v>
      </c>
    </row>
    <row r="76" spans="1:22" s="4" customFormat="1" ht="16.5">
      <c r="A76" s="4" t="str">
        <f t="shared" si="2"/>
        <v>GL-0075</v>
      </c>
      <c r="B76" s="4" t="s">
        <v>304</v>
      </c>
      <c r="C76" s="4" t="s">
        <v>23</v>
      </c>
      <c r="D76" s="4" t="s">
        <v>90</v>
      </c>
      <c r="E76" s="4" t="s">
        <v>91</v>
      </c>
      <c r="F76" s="4" t="s">
        <v>305</v>
      </c>
      <c r="G76" s="4" t="s">
        <v>161</v>
      </c>
      <c r="H76" s="4" t="s">
        <v>34</v>
      </c>
      <c r="I76" s="4" t="s">
        <v>28</v>
      </c>
      <c r="J76" s="4" t="s">
        <v>28</v>
      </c>
      <c r="K76" s="4" t="s">
        <v>306</v>
      </c>
      <c r="L76" s="4" t="s">
        <v>28</v>
      </c>
      <c r="N76" s="4" t="s">
        <v>41</v>
      </c>
      <c r="P76" s="4" t="s">
        <v>31</v>
      </c>
      <c r="Q76" s="4" t="s">
        <v>307</v>
      </c>
      <c r="R76" s="3" t="s">
        <v>308</v>
      </c>
      <c r="T76" s="4" t="s">
        <v>28</v>
      </c>
      <c r="U76" s="4">
        <v>3</v>
      </c>
      <c r="V76" s="17" t="s">
        <v>309</v>
      </c>
    </row>
    <row r="77" spans="1:22" s="4" customFormat="1" ht="16.5">
      <c r="A77" s="4" t="str">
        <f t="shared" si="2"/>
        <v>GL-0076</v>
      </c>
      <c r="B77" s="4" t="s">
        <v>310</v>
      </c>
      <c r="C77" s="4" t="s">
        <v>23</v>
      </c>
      <c r="D77" s="4" t="s">
        <v>90</v>
      </c>
      <c r="E77" s="4" t="s">
        <v>91</v>
      </c>
      <c r="F77" s="4" t="s">
        <v>305</v>
      </c>
      <c r="G77" s="4" t="s">
        <v>161</v>
      </c>
      <c r="H77" s="4" t="s">
        <v>34</v>
      </c>
      <c r="I77" s="4" t="s">
        <v>28</v>
      </c>
      <c r="J77" s="4" t="s">
        <v>28</v>
      </c>
      <c r="K77" s="4" t="s">
        <v>306</v>
      </c>
      <c r="L77" s="4" t="s">
        <v>28</v>
      </c>
      <c r="N77" s="4" t="s">
        <v>94</v>
      </c>
      <c r="P77" s="4" t="s">
        <v>31</v>
      </c>
      <c r="Q77" s="4" t="s">
        <v>307</v>
      </c>
      <c r="R77" s="3" t="s">
        <v>311</v>
      </c>
      <c r="T77" s="4" t="s">
        <v>28</v>
      </c>
      <c r="U77" s="4">
        <v>3</v>
      </c>
      <c r="V77" s="17" t="s">
        <v>312</v>
      </c>
    </row>
    <row r="78" spans="1:22" s="4" customFormat="1" ht="16.5">
      <c r="A78" s="4" t="str">
        <f t="shared" si="2"/>
        <v>GL-0077</v>
      </c>
      <c r="B78" s="4" t="s">
        <v>313</v>
      </c>
      <c r="C78" s="4" t="s">
        <v>23</v>
      </c>
      <c r="D78" s="4" t="s">
        <v>90</v>
      </c>
      <c r="E78" s="4" t="s">
        <v>91</v>
      </c>
      <c r="F78" s="4" t="s">
        <v>305</v>
      </c>
      <c r="G78" s="4" t="s">
        <v>161</v>
      </c>
      <c r="H78" s="4" t="s">
        <v>34</v>
      </c>
      <c r="I78" s="4" t="s">
        <v>28</v>
      </c>
      <c r="J78" s="4" t="s">
        <v>28</v>
      </c>
      <c r="K78" s="4" t="s">
        <v>306</v>
      </c>
      <c r="L78" s="4" t="s">
        <v>28</v>
      </c>
      <c r="N78" s="4" t="s">
        <v>94</v>
      </c>
      <c r="P78" s="4" t="s">
        <v>31</v>
      </c>
      <c r="Q78" s="4" t="s">
        <v>307</v>
      </c>
      <c r="R78" s="3" t="s">
        <v>314</v>
      </c>
      <c r="T78" s="4" t="s">
        <v>28</v>
      </c>
      <c r="U78" s="4">
        <v>3</v>
      </c>
      <c r="V78" s="17" t="s">
        <v>315</v>
      </c>
    </row>
    <row r="79" spans="1:22" s="4" customFormat="1" ht="16.5">
      <c r="A79" s="4" t="str">
        <f t="shared" si="2"/>
        <v>GL-0078</v>
      </c>
      <c r="B79" s="4" t="s">
        <v>316</v>
      </c>
      <c r="C79" s="4" t="s">
        <v>23</v>
      </c>
      <c r="D79" s="4" t="s">
        <v>90</v>
      </c>
      <c r="E79" s="4" t="s">
        <v>91</v>
      </c>
      <c r="F79" s="4" t="s">
        <v>305</v>
      </c>
      <c r="G79" s="4" t="s">
        <v>161</v>
      </c>
      <c r="H79" s="4" t="s">
        <v>34</v>
      </c>
      <c r="I79" s="4" t="s">
        <v>28</v>
      </c>
      <c r="J79" s="4" t="s">
        <v>28</v>
      </c>
      <c r="K79" s="4" t="s">
        <v>306</v>
      </c>
      <c r="L79" s="4" t="s">
        <v>28</v>
      </c>
      <c r="N79" s="4" t="s">
        <v>94</v>
      </c>
      <c r="P79" s="4" t="s">
        <v>31</v>
      </c>
      <c r="Q79" s="4" t="s">
        <v>307</v>
      </c>
      <c r="R79" s="3" t="s">
        <v>317</v>
      </c>
      <c r="S79" s="3" t="s">
        <v>318</v>
      </c>
      <c r="T79" s="4" t="s">
        <v>28</v>
      </c>
      <c r="U79" s="4">
        <v>3</v>
      </c>
      <c r="V79" s="17" t="s">
        <v>319</v>
      </c>
    </row>
    <row r="80" spans="1:22" s="4" customFormat="1" ht="16.5">
      <c r="A80" s="4" t="str">
        <f t="shared" si="2"/>
        <v>GL-0079</v>
      </c>
      <c r="B80" s="4" t="s">
        <v>320</v>
      </c>
      <c r="C80" s="4" t="s">
        <v>23</v>
      </c>
      <c r="D80" s="4" t="s">
        <v>90</v>
      </c>
      <c r="E80" s="4" t="s">
        <v>91</v>
      </c>
      <c r="F80" s="4" t="s">
        <v>305</v>
      </c>
      <c r="G80" s="4" t="s">
        <v>161</v>
      </c>
      <c r="H80" s="4" t="s">
        <v>34</v>
      </c>
      <c r="I80" s="4" t="s">
        <v>28</v>
      </c>
      <c r="J80" s="4" t="s">
        <v>28</v>
      </c>
      <c r="K80" s="4" t="s">
        <v>306</v>
      </c>
      <c r="L80" s="4" t="s">
        <v>28</v>
      </c>
      <c r="N80" s="4" t="s">
        <v>94</v>
      </c>
      <c r="P80" s="4" t="s">
        <v>31</v>
      </c>
      <c r="Q80" s="4" t="s">
        <v>307</v>
      </c>
      <c r="R80" s="3" t="s">
        <v>321</v>
      </c>
      <c r="S80" s="3" t="s">
        <v>322</v>
      </c>
      <c r="T80" s="4" t="s">
        <v>28</v>
      </c>
      <c r="U80" s="4">
        <v>3</v>
      </c>
      <c r="V80" s="17" t="s">
        <v>323</v>
      </c>
    </row>
    <row r="81" spans="1:22" s="4" customFormat="1" ht="16.5">
      <c r="A81" s="4" t="str">
        <f t="shared" si="2"/>
        <v>GL-0080</v>
      </c>
      <c r="B81" s="4" t="s">
        <v>324</v>
      </c>
      <c r="C81" s="4" t="s">
        <v>23</v>
      </c>
      <c r="D81" s="4" t="s">
        <v>90</v>
      </c>
      <c r="E81" s="4" t="s">
        <v>91</v>
      </c>
      <c r="F81" s="4" t="s">
        <v>305</v>
      </c>
      <c r="G81" s="4" t="s">
        <v>161</v>
      </c>
      <c r="H81" s="4" t="s">
        <v>34</v>
      </c>
      <c r="I81" s="4" t="s">
        <v>28</v>
      </c>
      <c r="J81" s="4" t="s">
        <v>28</v>
      </c>
      <c r="K81" s="4" t="s">
        <v>306</v>
      </c>
      <c r="L81" s="4" t="s">
        <v>28</v>
      </c>
      <c r="N81" s="4" t="s">
        <v>94</v>
      </c>
      <c r="P81" s="4" t="s">
        <v>31</v>
      </c>
      <c r="Q81" s="4" t="s">
        <v>307</v>
      </c>
      <c r="R81" s="3" t="s">
        <v>325</v>
      </c>
      <c r="T81" s="4" t="s">
        <v>28</v>
      </c>
      <c r="U81" s="4">
        <v>3</v>
      </c>
      <c r="V81" s="17" t="s">
        <v>326</v>
      </c>
    </row>
    <row r="82" spans="1:22">
      <c r="B82" t="s">
        <v>327</v>
      </c>
      <c r="C82" t="s">
        <v>37</v>
      </c>
      <c r="D82" t="s">
        <v>24</v>
      </c>
      <c r="E82" t="s">
        <v>91</v>
      </c>
      <c r="H82" t="s">
        <v>34</v>
      </c>
      <c r="I82" t="s">
        <v>28</v>
      </c>
      <c r="N82" t="s">
        <v>39</v>
      </c>
    </row>
    <row r="83" spans="1:22">
      <c r="B83" t="s">
        <v>328</v>
      </c>
      <c r="C83" t="s">
        <v>37</v>
      </c>
      <c r="D83" t="s">
        <v>24</v>
      </c>
      <c r="E83" t="s">
        <v>91</v>
      </c>
      <c r="H83" t="s">
        <v>34</v>
      </c>
      <c r="I83" t="s">
        <v>28</v>
      </c>
      <c r="N83" t="s">
        <v>41</v>
      </c>
    </row>
    <row r="84" spans="1:22">
      <c r="B84" t="s">
        <v>329</v>
      </c>
      <c r="C84" t="s">
        <v>37</v>
      </c>
      <c r="D84" t="s">
        <v>24</v>
      </c>
      <c r="E84" t="s">
        <v>91</v>
      </c>
      <c r="H84" t="s">
        <v>34</v>
      </c>
      <c r="I84" t="s">
        <v>28</v>
      </c>
      <c r="N84" t="s">
        <v>41</v>
      </c>
    </row>
    <row r="85" spans="1:22">
      <c r="B85" t="s">
        <v>330</v>
      </c>
      <c r="C85" t="s">
        <v>37</v>
      </c>
      <c r="D85" t="s">
        <v>24</v>
      </c>
      <c r="E85" t="s">
        <v>91</v>
      </c>
      <c r="H85" t="s">
        <v>34</v>
      </c>
      <c r="I85" t="s">
        <v>28</v>
      </c>
      <c r="N85" t="s">
        <v>41</v>
      </c>
    </row>
    <row r="86" spans="1:22">
      <c r="B86" t="s">
        <v>331</v>
      </c>
      <c r="C86" t="s">
        <v>37</v>
      </c>
      <c r="D86" t="s">
        <v>24</v>
      </c>
      <c r="E86" t="s">
        <v>91</v>
      </c>
      <c r="H86" t="s">
        <v>34</v>
      </c>
      <c r="I86" t="s">
        <v>28</v>
      </c>
    </row>
    <row r="87" spans="1:22">
      <c r="B87" t="s">
        <v>332</v>
      </c>
      <c r="C87" t="s">
        <v>37</v>
      </c>
      <c r="D87" t="s">
        <v>24</v>
      </c>
      <c r="E87" t="s">
        <v>91</v>
      </c>
      <c r="H87" t="s">
        <v>34</v>
      </c>
      <c r="I87" t="s">
        <v>28</v>
      </c>
      <c r="N87" t="s">
        <v>30</v>
      </c>
    </row>
    <row r="88" spans="1:22">
      <c r="B88" t="s">
        <v>333</v>
      </c>
      <c r="C88" t="s">
        <v>37</v>
      </c>
      <c r="D88" t="s">
        <v>24</v>
      </c>
      <c r="E88" t="s">
        <v>91</v>
      </c>
      <c r="H88" t="s">
        <v>34</v>
      </c>
      <c r="I88" t="s">
        <v>28</v>
      </c>
      <c r="N88" t="s">
        <v>41</v>
      </c>
    </row>
    <row r="89" spans="1:22">
      <c r="B89" t="s">
        <v>334</v>
      </c>
      <c r="C89" t="s">
        <v>37</v>
      </c>
      <c r="D89" t="s">
        <v>24</v>
      </c>
      <c r="E89" t="s">
        <v>91</v>
      </c>
      <c r="H89" t="s">
        <v>34</v>
      </c>
      <c r="I89" t="s">
        <v>28</v>
      </c>
      <c r="N89" t="s">
        <v>41</v>
      </c>
    </row>
    <row r="90" spans="1:22">
      <c r="B90" t="s">
        <v>335</v>
      </c>
      <c r="C90" t="s">
        <v>37</v>
      </c>
      <c r="D90" t="s">
        <v>24</v>
      </c>
      <c r="E90" t="s">
        <v>91</v>
      </c>
      <c r="H90" t="s">
        <v>34</v>
      </c>
      <c r="I90" t="s">
        <v>28</v>
      </c>
    </row>
    <row r="91" spans="1:22">
      <c r="B91" t="s">
        <v>336</v>
      </c>
      <c r="C91" t="s">
        <v>37</v>
      </c>
      <c r="D91" t="s">
        <v>24</v>
      </c>
      <c r="E91" t="s">
        <v>91</v>
      </c>
      <c r="H91" t="s">
        <v>34</v>
      </c>
      <c r="I91" t="s">
        <v>28</v>
      </c>
      <c r="N91" t="s">
        <v>30</v>
      </c>
    </row>
    <row r="92" spans="1:22">
      <c r="B92" t="s">
        <v>337</v>
      </c>
      <c r="C92" t="s">
        <v>37</v>
      </c>
      <c r="D92" t="s">
        <v>24</v>
      </c>
      <c r="E92" t="s">
        <v>91</v>
      </c>
      <c r="H92" t="s">
        <v>34</v>
      </c>
      <c r="I92" t="s">
        <v>28</v>
      </c>
    </row>
    <row r="93" spans="1:22" s="4" customFormat="1" ht="16.5">
      <c r="A93" s="4" t="str">
        <f>"GL-"&amp;TEXT(ROW()-1,"0000")</f>
        <v>GL-0092</v>
      </c>
      <c r="B93" s="4" t="s">
        <v>338</v>
      </c>
      <c r="C93" s="4" t="s">
        <v>23</v>
      </c>
      <c r="D93" s="4" t="s">
        <v>24</v>
      </c>
      <c r="E93" s="4" t="s">
        <v>25</v>
      </c>
      <c r="F93" s="4" t="s">
        <v>67</v>
      </c>
      <c r="G93" s="4" t="s">
        <v>161</v>
      </c>
      <c r="H93" s="4" t="s">
        <v>34</v>
      </c>
      <c r="I93" s="4" t="s">
        <v>28</v>
      </c>
      <c r="J93" s="4" t="s">
        <v>28</v>
      </c>
      <c r="K93" s="4" t="s">
        <v>339</v>
      </c>
      <c r="L93" s="4" t="s">
        <v>28</v>
      </c>
      <c r="N93" s="4" t="s">
        <v>30</v>
      </c>
      <c r="P93" s="4" t="s">
        <v>24</v>
      </c>
      <c r="Q93" s="4" t="s">
        <v>67</v>
      </c>
      <c r="T93" s="4" t="s">
        <v>34</v>
      </c>
      <c r="U93" s="4">
        <v>3</v>
      </c>
      <c r="V93" s="17" t="s">
        <v>340</v>
      </c>
    </row>
    <row r="94" spans="1:22">
      <c r="B94" t="s">
        <v>341</v>
      </c>
      <c r="C94" t="s">
        <v>37</v>
      </c>
      <c r="D94" t="s">
        <v>24</v>
      </c>
      <c r="E94" t="s">
        <v>91</v>
      </c>
      <c r="H94" t="s">
        <v>34</v>
      </c>
      <c r="I94" t="s">
        <v>28</v>
      </c>
    </row>
    <row r="95" spans="1:22">
      <c r="B95" t="s">
        <v>342</v>
      </c>
      <c r="C95" t="s">
        <v>37</v>
      </c>
      <c r="D95" t="s">
        <v>24</v>
      </c>
      <c r="E95" t="s">
        <v>91</v>
      </c>
      <c r="H95" t="s">
        <v>34</v>
      </c>
      <c r="I95" t="s">
        <v>28</v>
      </c>
    </row>
    <row r="96" spans="1:22">
      <c r="B96" t="s">
        <v>343</v>
      </c>
      <c r="C96" t="s">
        <v>37</v>
      </c>
      <c r="D96" t="s">
        <v>24</v>
      </c>
      <c r="E96" t="s">
        <v>91</v>
      </c>
      <c r="H96" t="s">
        <v>34</v>
      </c>
      <c r="I96" t="s">
        <v>28</v>
      </c>
    </row>
    <row r="97" spans="1:22">
      <c r="B97" t="s">
        <v>344</v>
      </c>
      <c r="C97" t="s">
        <v>37</v>
      </c>
      <c r="D97" t="s">
        <v>24</v>
      </c>
      <c r="E97" t="s">
        <v>91</v>
      </c>
      <c r="H97" t="s">
        <v>34</v>
      </c>
      <c r="I97" t="s">
        <v>28</v>
      </c>
      <c r="N97" t="s">
        <v>30</v>
      </c>
    </row>
    <row r="98" spans="1:22">
      <c r="B98" t="s">
        <v>345</v>
      </c>
      <c r="C98" t="s">
        <v>37</v>
      </c>
      <c r="D98" t="s">
        <v>24</v>
      </c>
      <c r="E98" t="s">
        <v>91</v>
      </c>
      <c r="H98" t="s">
        <v>34</v>
      </c>
      <c r="I98" t="s">
        <v>28</v>
      </c>
      <c r="N98" t="s">
        <v>41</v>
      </c>
    </row>
    <row r="99" spans="1:22">
      <c r="B99" t="s">
        <v>346</v>
      </c>
      <c r="C99" t="s">
        <v>37</v>
      </c>
      <c r="D99" t="s">
        <v>24</v>
      </c>
      <c r="E99" t="s">
        <v>91</v>
      </c>
      <c r="H99" t="s">
        <v>34</v>
      </c>
      <c r="I99" t="s">
        <v>28</v>
      </c>
    </row>
    <row r="100" spans="1:22">
      <c r="B100" t="s">
        <v>347</v>
      </c>
      <c r="C100" t="s">
        <v>37</v>
      </c>
      <c r="D100" t="s">
        <v>67</v>
      </c>
      <c r="E100" t="s">
        <v>91</v>
      </c>
      <c r="H100" t="s">
        <v>34</v>
      </c>
      <c r="I100" t="s">
        <v>28</v>
      </c>
    </row>
    <row r="101" spans="1:22">
      <c r="B101" t="s">
        <v>348</v>
      </c>
      <c r="C101" t="s">
        <v>37</v>
      </c>
      <c r="D101" t="s">
        <v>67</v>
      </c>
      <c r="E101" t="s">
        <v>272</v>
      </c>
      <c r="H101" t="s">
        <v>34</v>
      </c>
      <c r="I101" t="s">
        <v>28</v>
      </c>
    </row>
    <row r="102" spans="1:22">
      <c r="B102" t="s">
        <v>349</v>
      </c>
      <c r="C102" t="s">
        <v>37</v>
      </c>
      <c r="D102" t="s">
        <v>67</v>
      </c>
      <c r="E102" t="s">
        <v>91</v>
      </c>
      <c r="H102" t="s">
        <v>34</v>
      </c>
      <c r="I102" t="s">
        <v>28</v>
      </c>
    </row>
    <row r="103" spans="1:22">
      <c r="B103" t="s">
        <v>350</v>
      </c>
      <c r="C103" t="s">
        <v>37</v>
      </c>
      <c r="D103" t="s">
        <v>67</v>
      </c>
      <c r="E103" t="s">
        <v>91</v>
      </c>
      <c r="H103" t="s">
        <v>34</v>
      </c>
      <c r="I103" t="s">
        <v>28</v>
      </c>
    </row>
    <row r="104" spans="1:22">
      <c r="B104" t="s">
        <v>351</v>
      </c>
      <c r="C104" t="s">
        <v>37</v>
      </c>
      <c r="D104" t="s">
        <v>24</v>
      </c>
      <c r="E104" t="s">
        <v>91</v>
      </c>
      <c r="H104" t="s">
        <v>34</v>
      </c>
      <c r="I104" t="s">
        <v>28</v>
      </c>
    </row>
    <row r="105" spans="1:22">
      <c r="B105" t="s">
        <v>352</v>
      </c>
      <c r="C105" t="s">
        <v>37</v>
      </c>
      <c r="D105" t="s">
        <v>24</v>
      </c>
      <c r="E105" t="s">
        <v>91</v>
      </c>
      <c r="H105" t="s">
        <v>34</v>
      </c>
      <c r="I105" t="s">
        <v>28</v>
      </c>
      <c r="N105" t="s">
        <v>39</v>
      </c>
    </row>
    <row r="106" spans="1:22">
      <c r="B106" t="s">
        <v>353</v>
      </c>
      <c r="C106" t="s">
        <v>37</v>
      </c>
      <c r="D106" t="s">
        <v>24</v>
      </c>
      <c r="E106" t="s">
        <v>91</v>
      </c>
      <c r="H106" t="s">
        <v>34</v>
      </c>
      <c r="I106" t="s">
        <v>28</v>
      </c>
      <c r="N106" t="s">
        <v>39</v>
      </c>
    </row>
    <row r="107" spans="1:22">
      <c r="B107" t="s">
        <v>354</v>
      </c>
      <c r="C107" t="s">
        <v>37</v>
      </c>
      <c r="D107" t="s">
        <v>24</v>
      </c>
      <c r="E107" t="s">
        <v>91</v>
      </c>
      <c r="H107" t="s">
        <v>34</v>
      </c>
      <c r="I107" t="s">
        <v>28</v>
      </c>
      <c r="N107" t="s">
        <v>39</v>
      </c>
    </row>
    <row r="108" spans="1:22">
      <c r="B108" t="s">
        <v>355</v>
      </c>
      <c r="C108" t="s">
        <v>37</v>
      </c>
      <c r="D108" t="s">
        <v>24</v>
      </c>
      <c r="E108" t="s">
        <v>91</v>
      </c>
      <c r="H108" t="s">
        <v>34</v>
      </c>
      <c r="I108" t="s">
        <v>28</v>
      </c>
      <c r="N108" t="s">
        <v>39</v>
      </c>
    </row>
    <row r="109" spans="1:22" s="4" customFormat="1" ht="16.5">
      <c r="A109" s="4" t="str">
        <f t="shared" ref="A109:A110" si="3">"GL-"&amp;TEXT(ROW()-1,"0000")</f>
        <v>GL-0108</v>
      </c>
      <c r="B109" s="4" t="s">
        <v>356</v>
      </c>
      <c r="C109" s="4" t="s">
        <v>37</v>
      </c>
      <c r="D109" s="4" t="s">
        <v>24</v>
      </c>
      <c r="E109" s="4" t="s">
        <v>91</v>
      </c>
      <c r="F109" s="4" t="s">
        <v>109</v>
      </c>
      <c r="G109" s="4" t="s">
        <v>161</v>
      </c>
      <c r="H109" s="4" t="s">
        <v>34</v>
      </c>
      <c r="I109" s="4" t="s">
        <v>28</v>
      </c>
      <c r="J109" s="4" t="s">
        <v>28</v>
      </c>
      <c r="K109" s="4" t="s">
        <v>29</v>
      </c>
      <c r="L109" s="4" t="s">
        <v>28</v>
      </c>
      <c r="N109" s="4" t="s">
        <v>39</v>
      </c>
      <c r="O109" s="4" t="s">
        <v>28</v>
      </c>
      <c r="P109" s="4" t="s">
        <v>24</v>
      </c>
      <c r="Q109" s="4" t="s">
        <v>62</v>
      </c>
      <c r="R109" s="5" t="s">
        <v>357</v>
      </c>
      <c r="S109" s="3" t="s">
        <v>358</v>
      </c>
      <c r="T109" s="4" t="s">
        <v>28</v>
      </c>
      <c r="U109" s="4">
        <v>5</v>
      </c>
      <c r="V109" s="17" t="s">
        <v>359</v>
      </c>
    </row>
    <row r="110" spans="1:22" s="4" customFormat="1" ht="16.5">
      <c r="A110" s="4" t="str">
        <f t="shared" si="3"/>
        <v>GL-0109</v>
      </c>
      <c r="B110" s="4" t="s">
        <v>360</v>
      </c>
      <c r="C110" s="4" t="s">
        <v>37</v>
      </c>
      <c r="D110" s="4" t="s">
        <v>67</v>
      </c>
      <c r="E110" s="4" t="s">
        <v>91</v>
      </c>
      <c r="F110" s="4" t="s">
        <v>114</v>
      </c>
      <c r="G110" s="4" t="s">
        <v>161</v>
      </c>
      <c r="H110" s="4" t="s">
        <v>34</v>
      </c>
      <c r="I110" s="4" t="s">
        <v>28</v>
      </c>
      <c r="J110" s="4" t="s">
        <v>28</v>
      </c>
      <c r="K110" s="4" t="s">
        <v>29</v>
      </c>
      <c r="L110" s="4" t="s">
        <v>28</v>
      </c>
      <c r="N110" s="4" t="s">
        <v>39</v>
      </c>
      <c r="O110" s="4" t="s">
        <v>28</v>
      </c>
      <c r="P110" s="4" t="s">
        <v>24</v>
      </c>
      <c r="Q110" s="4" t="s">
        <v>67</v>
      </c>
      <c r="R110" s="5" t="s">
        <v>361</v>
      </c>
      <c r="S110" s="3" t="s">
        <v>362</v>
      </c>
      <c r="T110" s="4" t="s">
        <v>28</v>
      </c>
      <c r="U110" s="4">
        <v>3</v>
      </c>
      <c r="V110" s="17" t="s">
        <v>363</v>
      </c>
    </row>
    <row r="111" spans="1:22">
      <c r="B111" t="s">
        <v>364</v>
      </c>
      <c r="C111" t="s">
        <v>37</v>
      </c>
      <c r="D111" t="s">
        <v>67</v>
      </c>
      <c r="E111" t="s">
        <v>91</v>
      </c>
      <c r="H111" t="s">
        <v>34</v>
      </c>
      <c r="I111" t="s">
        <v>28</v>
      </c>
      <c r="N111" t="s">
        <v>41</v>
      </c>
    </row>
    <row r="112" spans="1:22" s="4" customFormat="1" ht="16.5">
      <c r="A112" s="4" t="str">
        <f t="shared" ref="A112:A115" si="4">"GL-"&amp;TEXT(ROW()-1,"0000")</f>
        <v>GL-0111</v>
      </c>
      <c r="B112" s="4" t="s">
        <v>365</v>
      </c>
      <c r="C112" s="4" t="s">
        <v>37</v>
      </c>
      <c r="D112" s="4" t="s">
        <v>67</v>
      </c>
      <c r="E112" s="4" t="s">
        <v>91</v>
      </c>
      <c r="F112" s="4" t="s">
        <v>114</v>
      </c>
      <c r="G112" s="4" t="s">
        <v>161</v>
      </c>
      <c r="H112" s="4" t="s">
        <v>34</v>
      </c>
      <c r="I112" s="4" t="s">
        <v>28</v>
      </c>
      <c r="J112" s="4" t="s">
        <v>28</v>
      </c>
      <c r="K112" s="4" t="s">
        <v>366</v>
      </c>
      <c r="L112" s="4" t="s">
        <v>28</v>
      </c>
      <c r="N112" s="4" t="s">
        <v>30</v>
      </c>
      <c r="O112" s="4" t="s">
        <v>28</v>
      </c>
      <c r="P112" s="4" t="s">
        <v>24</v>
      </c>
      <c r="Q112" s="4" t="s">
        <v>67</v>
      </c>
      <c r="R112" s="5" t="s">
        <v>367</v>
      </c>
      <c r="S112" s="3" t="s">
        <v>368</v>
      </c>
      <c r="T112" s="4" t="s">
        <v>28</v>
      </c>
      <c r="U112" s="4">
        <v>2</v>
      </c>
      <c r="V112" s="17" t="s">
        <v>369</v>
      </c>
    </row>
    <row r="113" spans="1:22" s="4" customFormat="1" ht="16.5">
      <c r="A113" s="4" t="str">
        <f t="shared" si="4"/>
        <v>GL-0112</v>
      </c>
      <c r="B113" s="4" t="s">
        <v>370</v>
      </c>
      <c r="C113" s="4" t="s">
        <v>23</v>
      </c>
      <c r="D113" s="4" t="s">
        <v>24</v>
      </c>
      <c r="E113" s="4" t="s">
        <v>136</v>
      </c>
      <c r="F113" s="4" t="s">
        <v>109</v>
      </c>
      <c r="G113" s="4" t="s">
        <v>161</v>
      </c>
      <c r="H113" s="4" t="s">
        <v>34</v>
      </c>
      <c r="I113" s="4" t="s">
        <v>28</v>
      </c>
      <c r="J113" s="4" t="s">
        <v>28</v>
      </c>
      <c r="K113" s="4" t="s">
        <v>29</v>
      </c>
      <c r="L113" s="4" t="s">
        <v>28</v>
      </c>
      <c r="N113" s="4" t="s">
        <v>39</v>
      </c>
      <c r="O113" s="4" t="s">
        <v>28</v>
      </c>
      <c r="P113" s="4" t="s">
        <v>24</v>
      </c>
      <c r="Q113" s="4" t="s">
        <v>62</v>
      </c>
      <c r="R113" s="5" t="s">
        <v>371</v>
      </c>
      <c r="S113" s="3" t="s">
        <v>372</v>
      </c>
      <c r="T113" s="4" t="s">
        <v>28</v>
      </c>
      <c r="U113" s="4">
        <v>3</v>
      </c>
      <c r="V113" s="17" t="s">
        <v>373</v>
      </c>
    </row>
    <row r="114" spans="1:22" s="4" customFormat="1" ht="16.5">
      <c r="A114" s="4" t="str">
        <f t="shared" si="4"/>
        <v>GL-0113</v>
      </c>
      <c r="B114" s="4" t="s">
        <v>374</v>
      </c>
      <c r="C114" s="4" t="s">
        <v>23</v>
      </c>
      <c r="D114" s="4" t="s">
        <v>55</v>
      </c>
      <c r="E114" s="4" t="s">
        <v>136</v>
      </c>
      <c r="F114" s="4" t="s">
        <v>38</v>
      </c>
      <c r="G114" s="4" t="s">
        <v>27</v>
      </c>
      <c r="H114" s="4" t="s">
        <v>34</v>
      </c>
      <c r="I114" s="4" t="s">
        <v>28</v>
      </c>
      <c r="J114" s="4" t="s">
        <v>28</v>
      </c>
      <c r="K114" s="4" t="s">
        <v>29</v>
      </c>
      <c r="L114" s="4" t="s">
        <v>34</v>
      </c>
      <c r="N114" s="4" t="s">
        <v>41</v>
      </c>
      <c r="P114" s="4" t="s">
        <v>38</v>
      </c>
      <c r="Q114" s="4" t="s">
        <v>375</v>
      </c>
      <c r="R114" s="5" t="s">
        <v>376</v>
      </c>
      <c r="S114" s="5"/>
      <c r="T114" s="4" t="s">
        <v>34</v>
      </c>
      <c r="U114" s="4">
        <v>3</v>
      </c>
      <c r="V114" s="17" t="s">
        <v>377</v>
      </c>
    </row>
    <row r="115" spans="1:22" s="4" customFormat="1" ht="16.5">
      <c r="A115" s="4" t="str">
        <f t="shared" si="4"/>
        <v>GL-0114</v>
      </c>
      <c r="B115" s="4" t="s">
        <v>378</v>
      </c>
      <c r="C115" s="4" t="s">
        <v>23</v>
      </c>
      <c r="D115" s="4" t="s">
        <v>24</v>
      </c>
      <c r="E115" s="4" t="s">
        <v>91</v>
      </c>
      <c r="F115" s="4" t="s">
        <v>114</v>
      </c>
      <c r="G115" s="4" t="s">
        <v>161</v>
      </c>
      <c r="H115" s="4" t="s">
        <v>34</v>
      </c>
      <c r="I115" s="4" t="s">
        <v>28</v>
      </c>
      <c r="J115" s="4" t="s">
        <v>28</v>
      </c>
      <c r="K115" s="4" t="s">
        <v>29</v>
      </c>
      <c r="L115" s="4" t="s">
        <v>28</v>
      </c>
      <c r="N115" s="4" t="s">
        <v>30</v>
      </c>
      <c r="O115" s="4" t="s">
        <v>28</v>
      </c>
      <c r="P115" s="4" t="s">
        <v>24</v>
      </c>
      <c r="Q115" s="4" t="s">
        <v>379</v>
      </c>
      <c r="R115" s="3" t="s">
        <v>380</v>
      </c>
      <c r="S115" s="3" t="s">
        <v>381</v>
      </c>
      <c r="T115" s="4" t="s">
        <v>28</v>
      </c>
      <c r="U115" s="4">
        <v>3</v>
      </c>
      <c r="V115" s="17" t="s">
        <v>382</v>
      </c>
    </row>
    <row r="116" spans="1:22">
      <c r="B116" t="s">
        <v>383</v>
      </c>
      <c r="C116" t="s">
        <v>37</v>
      </c>
      <c r="D116" t="s">
        <v>24</v>
      </c>
      <c r="E116" t="s">
        <v>91</v>
      </c>
      <c r="H116" t="s">
        <v>34</v>
      </c>
      <c r="I116" t="s">
        <v>34</v>
      </c>
    </row>
    <row r="117" spans="1:22">
      <c r="B117" t="s">
        <v>384</v>
      </c>
      <c r="C117" t="s">
        <v>37</v>
      </c>
      <c r="D117" t="s">
        <v>24</v>
      </c>
      <c r="E117" t="s">
        <v>91</v>
      </c>
      <c r="H117" t="s">
        <v>34</v>
      </c>
      <c r="I117" t="s">
        <v>34</v>
      </c>
    </row>
    <row r="118" spans="1:22">
      <c r="B118" t="s">
        <v>385</v>
      </c>
      <c r="C118" t="s">
        <v>37</v>
      </c>
      <c r="D118" t="s">
        <v>24</v>
      </c>
      <c r="E118" t="s">
        <v>91</v>
      </c>
      <c r="H118" t="s">
        <v>34</v>
      </c>
      <c r="I118" t="s">
        <v>34</v>
      </c>
    </row>
    <row r="119" spans="1:22">
      <c r="B119" t="s">
        <v>386</v>
      </c>
      <c r="C119" t="s">
        <v>37</v>
      </c>
      <c r="D119" t="s">
        <v>24</v>
      </c>
      <c r="E119" t="s">
        <v>91</v>
      </c>
      <c r="H119" t="s">
        <v>34</v>
      </c>
      <c r="I119" t="s">
        <v>34</v>
      </c>
    </row>
    <row r="120" spans="1:22">
      <c r="B120" t="s">
        <v>387</v>
      </c>
      <c r="C120" t="s">
        <v>37</v>
      </c>
      <c r="D120" t="s">
        <v>24</v>
      </c>
      <c r="E120" t="s">
        <v>91</v>
      </c>
      <c r="H120" t="s">
        <v>34</v>
      </c>
      <c r="I120" t="s">
        <v>34</v>
      </c>
      <c r="N120" t="s">
        <v>39</v>
      </c>
    </row>
    <row r="121" spans="1:22">
      <c r="B121" t="s">
        <v>388</v>
      </c>
      <c r="C121" t="s">
        <v>37</v>
      </c>
      <c r="D121" t="s">
        <v>24</v>
      </c>
      <c r="E121" t="s">
        <v>91</v>
      </c>
      <c r="H121" t="s">
        <v>34</v>
      </c>
      <c r="I121" t="s">
        <v>34</v>
      </c>
      <c r="N121" t="s">
        <v>39</v>
      </c>
    </row>
    <row r="122" spans="1:22">
      <c r="B122" t="s">
        <v>389</v>
      </c>
      <c r="C122" t="s">
        <v>37</v>
      </c>
      <c r="D122" t="s">
        <v>24</v>
      </c>
      <c r="E122" t="s">
        <v>91</v>
      </c>
      <c r="H122" t="s">
        <v>34</v>
      </c>
      <c r="I122" t="s">
        <v>34</v>
      </c>
      <c r="N122" t="s">
        <v>30</v>
      </c>
    </row>
    <row r="123" spans="1:22" s="4" customFormat="1">
      <c r="A123" s="4" t="str">
        <f>"GL-"&amp;TEXT(ROW()-1,"0000")</f>
        <v>GL-0122</v>
      </c>
      <c r="B123" s="4" t="s">
        <v>390</v>
      </c>
      <c r="C123" s="4" t="s">
        <v>23</v>
      </c>
      <c r="D123" s="4" t="s">
        <v>24</v>
      </c>
      <c r="E123" s="4" t="s">
        <v>91</v>
      </c>
      <c r="F123" s="4" t="s">
        <v>109</v>
      </c>
      <c r="G123" s="4" t="s">
        <v>161</v>
      </c>
      <c r="H123" s="4" t="s">
        <v>34</v>
      </c>
      <c r="I123" s="4" t="s">
        <v>28</v>
      </c>
      <c r="J123" s="4" t="s">
        <v>28</v>
      </c>
      <c r="K123" s="4" t="s">
        <v>29</v>
      </c>
      <c r="L123" s="4" t="s">
        <v>34</v>
      </c>
      <c r="N123" s="4" t="s">
        <v>41</v>
      </c>
      <c r="O123" s="4" t="s">
        <v>28</v>
      </c>
      <c r="P123" s="4" t="s">
        <v>24</v>
      </c>
      <c r="Q123" s="4" t="s">
        <v>62</v>
      </c>
      <c r="R123" s="5" t="s">
        <v>391</v>
      </c>
      <c r="S123" s="5" t="s">
        <v>391</v>
      </c>
      <c r="T123" s="4" t="s">
        <v>28</v>
      </c>
      <c r="U123" s="4">
        <v>3</v>
      </c>
      <c r="V123" t="s">
        <v>392</v>
      </c>
    </row>
    <row r="124" spans="1:22">
      <c r="B124" t="s">
        <v>393</v>
      </c>
      <c r="C124" t="s">
        <v>23</v>
      </c>
      <c r="D124" t="s">
        <v>24</v>
      </c>
      <c r="E124" t="s">
        <v>91</v>
      </c>
      <c r="H124" t="s">
        <v>34</v>
      </c>
      <c r="I124" t="s">
        <v>28</v>
      </c>
      <c r="N124" t="s">
        <v>94</v>
      </c>
    </row>
    <row r="125" spans="1:22">
      <c r="B125" t="s">
        <v>394</v>
      </c>
      <c r="C125" t="s">
        <v>37</v>
      </c>
      <c r="D125" t="s">
        <v>201</v>
      </c>
      <c r="E125" t="s">
        <v>25</v>
      </c>
      <c r="H125" t="s">
        <v>34</v>
      </c>
      <c r="I125" t="s">
        <v>34</v>
      </c>
      <c r="N125" t="s">
        <v>41</v>
      </c>
    </row>
    <row r="126" spans="1:22">
      <c r="B126" t="s">
        <v>395</v>
      </c>
      <c r="C126" t="s">
        <v>37</v>
      </c>
      <c r="D126" t="s">
        <v>201</v>
      </c>
      <c r="E126" t="s">
        <v>25</v>
      </c>
      <c r="H126" t="s">
        <v>34</v>
      </c>
      <c r="I126" t="s">
        <v>34</v>
      </c>
      <c r="N126" t="s">
        <v>41</v>
      </c>
    </row>
    <row r="127" spans="1:22">
      <c r="B127" t="s">
        <v>396</v>
      </c>
      <c r="C127" t="s">
        <v>37</v>
      </c>
      <c r="D127" t="s">
        <v>201</v>
      </c>
      <c r="E127" t="s">
        <v>25</v>
      </c>
      <c r="H127" t="s">
        <v>34</v>
      </c>
      <c r="I127" t="s">
        <v>34</v>
      </c>
      <c r="N127" t="s">
        <v>41</v>
      </c>
    </row>
    <row r="128" spans="1:22">
      <c r="B128" t="s">
        <v>397</v>
      </c>
      <c r="C128" t="s">
        <v>37</v>
      </c>
      <c r="D128" t="s">
        <v>201</v>
      </c>
      <c r="E128" t="s">
        <v>25</v>
      </c>
      <c r="H128" t="s">
        <v>34</v>
      </c>
      <c r="I128" t="s">
        <v>34</v>
      </c>
      <c r="N128" t="s">
        <v>41</v>
      </c>
    </row>
    <row r="129" spans="2:14">
      <c r="B129" t="s">
        <v>398</v>
      </c>
      <c r="C129" t="s">
        <v>37</v>
      </c>
      <c r="D129" t="s">
        <v>201</v>
      </c>
      <c r="E129" t="s">
        <v>25</v>
      </c>
      <c r="H129" t="s">
        <v>34</v>
      </c>
      <c r="I129" t="s">
        <v>34</v>
      </c>
      <c r="N129" t="s">
        <v>41</v>
      </c>
    </row>
    <row r="130" spans="2:14">
      <c r="B130" t="s">
        <v>399</v>
      </c>
      <c r="C130" t="s">
        <v>37</v>
      </c>
      <c r="D130" t="s">
        <v>201</v>
      </c>
      <c r="E130" t="s">
        <v>25</v>
      </c>
      <c r="H130" t="s">
        <v>34</v>
      </c>
      <c r="I130" t="s">
        <v>34</v>
      </c>
      <c r="N130" t="s">
        <v>41</v>
      </c>
    </row>
    <row r="131" spans="2:14">
      <c r="B131" t="s">
        <v>400</v>
      </c>
      <c r="C131" t="s">
        <v>37</v>
      </c>
      <c r="D131" t="s">
        <v>201</v>
      </c>
      <c r="E131" t="s">
        <v>25</v>
      </c>
      <c r="H131" t="s">
        <v>34</v>
      </c>
      <c r="I131" t="s">
        <v>34</v>
      </c>
      <c r="N131" t="s">
        <v>41</v>
      </c>
    </row>
    <row r="132" spans="2:14">
      <c r="B132" t="s">
        <v>401</v>
      </c>
      <c r="C132" t="s">
        <v>23</v>
      </c>
      <c r="D132" t="s">
        <v>67</v>
      </c>
      <c r="E132" t="s">
        <v>25</v>
      </c>
      <c r="H132" t="s">
        <v>34</v>
      </c>
      <c r="N132" t="s">
        <v>39</v>
      </c>
    </row>
    <row r="133" spans="2:14">
      <c r="B133" t="s">
        <v>402</v>
      </c>
      <c r="C133" t="s">
        <v>23</v>
      </c>
      <c r="D133" t="s">
        <v>67</v>
      </c>
      <c r="E133" t="s">
        <v>25</v>
      </c>
    </row>
    <row r="134" spans="2:14">
      <c r="B134" t="s">
        <v>403</v>
      </c>
      <c r="C134" t="s">
        <v>37</v>
      </c>
      <c r="D134" t="s">
        <v>201</v>
      </c>
      <c r="E134" t="s">
        <v>25</v>
      </c>
      <c r="H134" t="s">
        <v>34</v>
      </c>
      <c r="I134" t="s">
        <v>34</v>
      </c>
      <c r="N134" t="s">
        <v>39</v>
      </c>
    </row>
    <row r="135" spans="2:14">
      <c r="B135" t="s">
        <v>404</v>
      </c>
      <c r="C135" t="s">
        <v>37</v>
      </c>
      <c r="D135" t="s">
        <v>201</v>
      </c>
      <c r="E135" t="s">
        <v>25</v>
      </c>
      <c r="H135" t="s">
        <v>34</v>
      </c>
      <c r="I135" t="s">
        <v>34</v>
      </c>
      <c r="N135" t="s">
        <v>39</v>
      </c>
    </row>
    <row r="136" spans="2:14">
      <c r="B136" t="s">
        <v>405</v>
      </c>
      <c r="C136" t="s">
        <v>37</v>
      </c>
      <c r="D136" t="s">
        <v>201</v>
      </c>
      <c r="E136" t="s">
        <v>25</v>
      </c>
      <c r="H136" t="s">
        <v>34</v>
      </c>
      <c r="I136" t="s">
        <v>34</v>
      </c>
      <c r="N136" t="s">
        <v>39</v>
      </c>
    </row>
    <row r="137" spans="2:14">
      <c r="B137" t="s">
        <v>406</v>
      </c>
      <c r="C137" t="s">
        <v>37</v>
      </c>
      <c r="D137" t="s">
        <v>201</v>
      </c>
      <c r="E137" t="s">
        <v>25</v>
      </c>
      <c r="H137" t="s">
        <v>34</v>
      </c>
      <c r="I137" t="s">
        <v>34</v>
      </c>
      <c r="N137" t="s">
        <v>39</v>
      </c>
    </row>
    <row r="138" spans="2:14">
      <c r="B138" t="s">
        <v>407</v>
      </c>
      <c r="C138" t="s">
        <v>37</v>
      </c>
      <c r="D138" t="s">
        <v>201</v>
      </c>
      <c r="E138" t="s">
        <v>25</v>
      </c>
      <c r="H138" t="s">
        <v>34</v>
      </c>
      <c r="I138" t="s">
        <v>34</v>
      </c>
      <c r="N138" t="s">
        <v>39</v>
      </c>
    </row>
    <row r="139" spans="2:14">
      <c r="B139" t="s">
        <v>408</v>
      </c>
      <c r="C139" t="s">
        <v>37</v>
      </c>
      <c r="D139" t="s">
        <v>201</v>
      </c>
      <c r="E139" t="s">
        <v>25</v>
      </c>
      <c r="H139" t="s">
        <v>34</v>
      </c>
      <c r="I139" t="s">
        <v>34</v>
      </c>
      <c r="N139" t="s">
        <v>39</v>
      </c>
    </row>
    <row r="140" spans="2:14">
      <c r="B140" t="s">
        <v>409</v>
      </c>
      <c r="C140" t="s">
        <v>37</v>
      </c>
      <c r="D140" t="s">
        <v>201</v>
      </c>
      <c r="E140" t="s">
        <v>25</v>
      </c>
      <c r="H140" t="s">
        <v>34</v>
      </c>
      <c r="I140" t="s">
        <v>34</v>
      </c>
      <c r="N140" t="s">
        <v>39</v>
      </c>
    </row>
    <row r="141" spans="2:14">
      <c r="B141" t="s">
        <v>410</v>
      </c>
      <c r="C141" t="s">
        <v>37</v>
      </c>
      <c r="D141" t="s">
        <v>201</v>
      </c>
      <c r="E141" t="s">
        <v>25</v>
      </c>
      <c r="H141" t="s">
        <v>34</v>
      </c>
      <c r="I141" t="s">
        <v>34</v>
      </c>
      <c r="N141" t="s">
        <v>39</v>
      </c>
    </row>
    <row r="142" spans="2:14">
      <c r="B142" t="s">
        <v>411</v>
      </c>
      <c r="C142" t="s">
        <v>37</v>
      </c>
      <c r="D142" t="s">
        <v>201</v>
      </c>
      <c r="E142" t="s">
        <v>25</v>
      </c>
      <c r="H142" t="s">
        <v>34</v>
      </c>
      <c r="I142" t="s">
        <v>34</v>
      </c>
      <c r="N142" t="s">
        <v>39</v>
      </c>
    </row>
    <row r="143" spans="2:14">
      <c r="B143" t="s">
        <v>412</v>
      </c>
      <c r="C143" t="s">
        <v>37</v>
      </c>
      <c r="D143" t="s">
        <v>201</v>
      </c>
      <c r="E143" t="s">
        <v>25</v>
      </c>
      <c r="H143" t="s">
        <v>34</v>
      </c>
      <c r="I143" t="s">
        <v>34</v>
      </c>
      <c r="N143" t="s">
        <v>39</v>
      </c>
    </row>
    <row r="144" spans="2:14">
      <c r="B144" t="s">
        <v>413</v>
      </c>
      <c r="C144" t="s">
        <v>37</v>
      </c>
      <c r="D144" t="s">
        <v>201</v>
      </c>
      <c r="E144" t="s">
        <v>25</v>
      </c>
      <c r="H144" t="s">
        <v>34</v>
      </c>
      <c r="I144" t="s">
        <v>34</v>
      </c>
      <c r="N144" t="s">
        <v>39</v>
      </c>
    </row>
    <row r="145" spans="2:14">
      <c r="B145" t="s">
        <v>414</v>
      </c>
      <c r="C145" t="s">
        <v>37</v>
      </c>
      <c r="D145" t="s">
        <v>201</v>
      </c>
      <c r="E145" t="s">
        <v>25</v>
      </c>
      <c r="H145" t="s">
        <v>34</v>
      </c>
      <c r="I145" t="s">
        <v>34</v>
      </c>
      <c r="N145" t="s">
        <v>39</v>
      </c>
    </row>
    <row r="146" spans="2:14">
      <c r="B146" t="s">
        <v>415</v>
      </c>
      <c r="C146" t="s">
        <v>37</v>
      </c>
      <c r="D146" t="s">
        <v>201</v>
      </c>
      <c r="E146" t="s">
        <v>25</v>
      </c>
      <c r="H146" t="s">
        <v>34</v>
      </c>
      <c r="I146" t="s">
        <v>34</v>
      </c>
      <c r="N146" t="s">
        <v>39</v>
      </c>
    </row>
    <row r="147" spans="2:14">
      <c r="B147" t="s">
        <v>416</v>
      </c>
      <c r="C147" t="s">
        <v>37</v>
      </c>
      <c r="D147" t="s">
        <v>201</v>
      </c>
      <c r="E147" t="s">
        <v>25</v>
      </c>
      <c r="H147" t="s">
        <v>34</v>
      </c>
      <c r="I147" t="s">
        <v>34</v>
      </c>
      <c r="N147" t="s">
        <v>39</v>
      </c>
    </row>
    <row r="148" spans="2:14">
      <c r="B148" t="s">
        <v>417</v>
      </c>
      <c r="C148" t="s">
        <v>37</v>
      </c>
      <c r="D148" t="s">
        <v>201</v>
      </c>
      <c r="E148" t="s">
        <v>25</v>
      </c>
      <c r="H148" t="s">
        <v>34</v>
      </c>
      <c r="I148" t="s">
        <v>34</v>
      </c>
      <c r="N148" t="s">
        <v>39</v>
      </c>
    </row>
    <row r="149" spans="2:14">
      <c r="B149" t="s">
        <v>418</v>
      </c>
      <c r="C149" t="s">
        <v>37</v>
      </c>
      <c r="D149" t="s">
        <v>201</v>
      </c>
      <c r="E149" t="s">
        <v>25</v>
      </c>
      <c r="H149" t="s">
        <v>34</v>
      </c>
      <c r="I149" t="s">
        <v>34</v>
      </c>
      <c r="N149" t="s">
        <v>39</v>
      </c>
    </row>
    <row r="150" spans="2:14">
      <c r="B150" t="s">
        <v>419</v>
      </c>
      <c r="C150" t="s">
        <v>37</v>
      </c>
      <c r="D150" t="s">
        <v>201</v>
      </c>
      <c r="E150" t="s">
        <v>25</v>
      </c>
      <c r="H150" t="s">
        <v>34</v>
      </c>
      <c r="I150" t="s">
        <v>34</v>
      </c>
      <c r="N150" t="s">
        <v>39</v>
      </c>
    </row>
    <row r="151" spans="2:14">
      <c r="B151" t="s">
        <v>420</v>
      </c>
      <c r="C151" t="s">
        <v>37</v>
      </c>
      <c r="D151" t="s">
        <v>201</v>
      </c>
      <c r="E151" t="s">
        <v>25</v>
      </c>
      <c r="H151" t="s">
        <v>34</v>
      </c>
      <c r="I151" t="s">
        <v>34</v>
      </c>
      <c r="N151" t="s">
        <v>39</v>
      </c>
    </row>
    <row r="152" spans="2:14">
      <c r="B152" t="s">
        <v>421</v>
      </c>
      <c r="C152" t="s">
        <v>37</v>
      </c>
      <c r="D152" t="s">
        <v>201</v>
      </c>
      <c r="E152" t="s">
        <v>25</v>
      </c>
      <c r="H152" t="s">
        <v>34</v>
      </c>
      <c r="I152" t="s">
        <v>34</v>
      </c>
      <c r="N152" t="s">
        <v>39</v>
      </c>
    </row>
    <row r="153" spans="2:14">
      <c r="B153" t="s">
        <v>422</v>
      </c>
      <c r="C153" t="s">
        <v>37</v>
      </c>
      <c r="D153" t="s">
        <v>201</v>
      </c>
      <c r="E153" t="s">
        <v>25</v>
      </c>
      <c r="H153" t="s">
        <v>34</v>
      </c>
      <c r="I153" t="s">
        <v>34</v>
      </c>
      <c r="N153" t="s">
        <v>39</v>
      </c>
    </row>
    <row r="154" spans="2:14">
      <c r="B154" t="s">
        <v>423</v>
      </c>
      <c r="C154" t="s">
        <v>37</v>
      </c>
      <c r="D154" t="s">
        <v>201</v>
      </c>
      <c r="E154" t="s">
        <v>25</v>
      </c>
      <c r="H154" t="s">
        <v>34</v>
      </c>
      <c r="I154" t="s">
        <v>34</v>
      </c>
      <c r="N154" t="s">
        <v>39</v>
      </c>
    </row>
    <row r="155" spans="2:14">
      <c r="B155" t="s">
        <v>424</v>
      </c>
      <c r="C155" t="s">
        <v>37</v>
      </c>
      <c r="D155" t="s">
        <v>201</v>
      </c>
      <c r="E155" t="s">
        <v>25</v>
      </c>
      <c r="H155" t="s">
        <v>34</v>
      </c>
      <c r="I155" t="s">
        <v>34</v>
      </c>
      <c r="N155" t="s">
        <v>39</v>
      </c>
    </row>
    <row r="156" spans="2:14">
      <c r="B156" t="s">
        <v>425</v>
      </c>
      <c r="C156" t="s">
        <v>37</v>
      </c>
      <c r="D156" t="s">
        <v>201</v>
      </c>
      <c r="E156" t="s">
        <v>25</v>
      </c>
      <c r="H156" t="s">
        <v>34</v>
      </c>
      <c r="I156" t="s">
        <v>34</v>
      </c>
      <c r="N156" t="s">
        <v>39</v>
      </c>
    </row>
    <row r="157" spans="2:14">
      <c r="B157" t="s">
        <v>426</v>
      </c>
      <c r="C157" t="s">
        <v>37</v>
      </c>
      <c r="D157" t="s">
        <v>201</v>
      </c>
      <c r="E157" t="s">
        <v>25</v>
      </c>
      <c r="H157" t="s">
        <v>34</v>
      </c>
      <c r="I157" t="s">
        <v>34</v>
      </c>
      <c r="N157" t="s">
        <v>39</v>
      </c>
    </row>
    <row r="158" spans="2:14">
      <c r="B158" t="s">
        <v>427</v>
      </c>
      <c r="C158" t="s">
        <v>37</v>
      </c>
      <c r="D158" t="s">
        <v>201</v>
      </c>
      <c r="E158" t="s">
        <v>25</v>
      </c>
      <c r="H158" t="s">
        <v>34</v>
      </c>
      <c r="I158" t="s">
        <v>34</v>
      </c>
      <c r="N158" t="s">
        <v>39</v>
      </c>
    </row>
    <row r="159" spans="2:14">
      <c r="B159" t="s">
        <v>428</v>
      </c>
      <c r="C159" t="s">
        <v>37</v>
      </c>
      <c r="D159" t="s">
        <v>201</v>
      </c>
      <c r="E159" t="s">
        <v>25</v>
      </c>
      <c r="H159" t="s">
        <v>34</v>
      </c>
      <c r="I159" t="s">
        <v>34</v>
      </c>
      <c r="N159" t="s">
        <v>39</v>
      </c>
    </row>
    <row r="160" spans="2:14">
      <c r="B160" t="s">
        <v>429</v>
      </c>
      <c r="C160" t="s">
        <v>37</v>
      </c>
      <c r="D160" t="s">
        <v>201</v>
      </c>
      <c r="E160" t="s">
        <v>25</v>
      </c>
      <c r="H160" t="s">
        <v>34</v>
      </c>
      <c r="I160" t="s">
        <v>34</v>
      </c>
      <c r="N160" t="s">
        <v>39</v>
      </c>
    </row>
    <row r="161" spans="2:22">
      <c r="B161" t="s">
        <v>430</v>
      </c>
      <c r="C161" t="s">
        <v>37</v>
      </c>
      <c r="D161" t="s">
        <v>201</v>
      </c>
      <c r="E161" t="s">
        <v>25</v>
      </c>
      <c r="H161" t="s">
        <v>34</v>
      </c>
      <c r="I161" t="s">
        <v>34</v>
      </c>
      <c r="N161" t="s">
        <v>39</v>
      </c>
    </row>
    <row r="162" spans="2:22">
      <c r="B162" t="s">
        <v>431</v>
      </c>
      <c r="C162" t="s">
        <v>37</v>
      </c>
      <c r="D162" t="s">
        <v>201</v>
      </c>
      <c r="E162" t="s">
        <v>25</v>
      </c>
      <c r="H162" t="s">
        <v>34</v>
      </c>
      <c r="I162" t="s">
        <v>34</v>
      </c>
      <c r="N162" t="s">
        <v>39</v>
      </c>
    </row>
    <row r="163" spans="2:22">
      <c r="B163" t="s">
        <v>432</v>
      </c>
      <c r="C163" t="s">
        <v>37</v>
      </c>
      <c r="D163" t="s">
        <v>201</v>
      </c>
      <c r="E163" t="s">
        <v>25</v>
      </c>
      <c r="H163" t="s">
        <v>34</v>
      </c>
      <c r="I163" t="s">
        <v>34</v>
      </c>
      <c r="N163" t="s">
        <v>39</v>
      </c>
    </row>
    <row r="164" spans="2:22">
      <c r="B164" t="s">
        <v>433</v>
      </c>
      <c r="C164" t="s">
        <v>37</v>
      </c>
      <c r="D164" t="s">
        <v>201</v>
      </c>
      <c r="E164" t="s">
        <v>25</v>
      </c>
      <c r="H164" t="s">
        <v>34</v>
      </c>
      <c r="I164" t="s">
        <v>34</v>
      </c>
      <c r="N164" t="s">
        <v>39</v>
      </c>
    </row>
    <row r="165" spans="2:22">
      <c r="B165" t="s">
        <v>434</v>
      </c>
      <c r="C165" t="s">
        <v>37</v>
      </c>
      <c r="D165" t="s">
        <v>201</v>
      </c>
      <c r="E165" t="s">
        <v>25</v>
      </c>
      <c r="H165" t="s">
        <v>34</v>
      </c>
      <c r="I165" t="s">
        <v>34</v>
      </c>
      <c r="N165" t="s">
        <v>39</v>
      </c>
    </row>
    <row r="166" spans="2:22">
      <c r="B166" t="s">
        <v>435</v>
      </c>
      <c r="C166" t="s">
        <v>37</v>
      </c>
      <c r="D166" t="s">
        <v>201</v>
      </c>
      <c r="E166" t="s">
        <v>25</v>
      </c>
      <c r="H166" t="s">
        <v>34</v>
      </c>
      <c r="I166" t="s">
        <v>34</v>
      </c>
      <c r="N166" t="s">
        <v>39</v>
      </c>
    </row>
    <row r="167" spans="2:22">
      <c r="B167" t="s">
        <v>436</v>
      </c>
      <c r="C167" t="s">
        <v>37</v>
      </c>
      <c r="D167" t="s">
        <v>201</v>
      </c>
      <c r="E167" t="s">
        <v>25</v>
      </c>
      <c r="H167" t="s">
        <v>34</v>
      </c>
      <c r="I167" t="s">
        <v>34</v>
      </c>
      <c r="N167" t="s">
        <v>39</v>
      </c>
    </row>
    <row r="168" spans="2:22">
      <c r="B168" t="s">
        <v>437</v>
      </c>
      <c r="C168" t="s">
        <v>37</v>
      </c>
      <c r="D168" t="s">
        <v>201</v>
      </c>
      <c r="E168" t="s">
        <v>25</v>
      </c>
      <c r="H168" t="s">
        <v>34</v>
      </c>
      <c r="I168" t="s">
        <v>34</v>
      </c>
      <c r="N168" t="s">
        <v>39</v>
      </c>
    </row>
    <row r="169" spans="2:22">
      <c r="B169" t="s">
        <v>438</v>
      </c>
      <c r="C169" t="s">
        <v>37</v>
      </c>
      <c r="D169" t="s">
        <v>201</v>
      </c>
      <c r="E169" t="s">
        <v>25</v>
      </c>
      <c r="H169" t="s">
        <v>34</v>
      </c>
      <c r="I169" t="s">
        <v>34</v>
      </c>
      <c r="N169" t="s">
        <v>39</v>
      </c>
    </row>
    <row r="170" spans="2:22">
      <c r="B170" t="s">
        <v>439</v>
      </c>
      <c r="C170" t="s">
        <v>37</v>
      </c>
      <c r="D170" t="s">
        <v>201</v>
      </c>
      <c r="E170" t="s">
        <v>25</v>
      </c>
      <c r="H170" t="s">
        <v>34</v>
      </c>
      <c r="I170" t="s">
        <v>34</v>
      </c>
      <c r="N170" t="s">
        <v>39</v>
      </c>
    </row>
    <row r="171" spans="2:22">
      <c r="B171" t="s">
        <v>440</v>
      </c>
      <c r="C171" t="s">
        <v>37</v>
      </c>
      <c r="D171" t="s">
        <v>201</v>
      </c>
      <c r="E171" t="s">
        <v>25</v>
      </c>
      <c r="H171" t="s">
        <v>34</v>
      </c>
      <c r="I171" t="s">
        <v>34</v>
      </c>
      <c r="N171" t="s">
        <v>39</v>
      </c>
    </row>
    <row r="172" spans="2:22">
      <c r="B172" t="s">
        <v>441</v>
      </c>
      <c r="C172" t="s">
        <v>37</v>
      </c>
      <c r="D172" t="s">
        <v>201</v>
      </c>
      <c r="E172" t="s">
        <v>25</v>
      </c>
      <c r="H172" t="s">
        <v>34</v>
      </c>
      <c r="I172" t="s">
        <v>34</v>
      </c>
      <c r="N172" t="s">
        <v>39</v>
      </c>
    </row>
    <row r="173" spans="2:22">
      <c r="B173" t="s">
        <v>442</v>
      </c>
      <c r="C173" t="s">
        <v>37</v>
      </c>
      <c r="D173" t="s">
        <v>201</v>
      </c>
      <c r="E173" t="s">
        <v>25</v>
      </c>
      <c r="H173" t="s">
        <v>34</v>
      </c>
      <c r="I173" t="s">
        <v>34</v>
      </c>
      <c r="N173" t="s">
        <v>39</v>
      </c>
    </row>
    <row r="174" spans="2:22" s="7" customFormat="1">
      <c r="B174" t="s">
        <v>443</v>
      </c>
      <c r="C174" t="s">
        <v>23</v>
      </c>
      <c r="D174" t="s">
        <v>201</v>
      </c>
      <c r="E174" t="s">
        <v>91</v>
      </c>
      <c r="F174"/>
      <c r="G174"/>
      <c r="H174" t="s">
        <v>34</v>
      </c>
      <c r="I174" t="s">
        <v>34</v>
      </c>
      <c r="J174"/>
      <c r="K174"/>
      <c r="L174"/>
      <c r="M174"/>
      <c r="N174" t="s">
        <v>30</v>
      </c>
      <c r="O174"/>
      <c r="P174"/>
      <c r="Q174"/>
      <c r="R174"/>
      <c r="S174"/>
      <c r="T174"/>
      <c r="U174"/>
      <c r="V174"/>
    </row>
    <row r="175" spans="2:22">
      <c r="B175" t="s">
        <v>444</v>
      </c>
      <c r="C175" t="s">
        <v>37</v>
      </c>
      <c r="D175" t="s">
        <v>201</v>
      </c>
      <c r="E175" t="s">
        <v>25</v>
      </c>
      <c r="H175" t="s">
        <v>34</v>
      </c>
      <c r="I175" t="s">
        <v>34</v>
      </c>
      <c r="N175" t="s">
        <v>39</v>
      </c>
    </row>
    <row r="176" spans="2:22">
      <c r="B176" t="s">
        <v>445</v>
      </c>
      <c r="C176" t="s">
        <v>37</v>
      </c>
      <c r="D176" t="s">
        <v>201</v>
      </c>
      <c r="E176" t="s">
        <v>25</v>
      </c>
      <c r="H176" t="s">
        <v>34</v>
      </c>
      <c r="I176" t="s">
        <v>34</v>
      </c>
      <c r="N176" t="s">
        <v>39</v>
      </c>
    </row>
    <row r="177" spans="2:14">
      <c r="B177" t="s">
        <v>446</v>
      </c>
      <c r="C177" t="s">
        <v>37</v>
      </c>
      <c r="D177" t="s">
        <v>201</v>
      </c>
      <c r="E177" t="s">
        <v>25</v>
      </c>
      <c r="H177" t="s">
        <v>34</v>
      </c>
      <c r="I177" t="s">
        <v>34</v>
      </c>
      <c r="N177" t="s">
        <v>39</v>
      </c>
    </row>
    <row r="178" spans="2:14">
      <c r="B178" t="s">
        <v>447</v>
      </c>
      <c r="C178" t="s">
        <v>37</v>
      </c>
      <c r="D178" t="s">
        <v>201</v>
      </c>
      <c r="E178" t="s">
        <v>25</v>
      </c>
      <c r="H178" t="s">
        <v>34</v>
      </c>
      <c r="I178" t="s">
        <v>34</v>
      </c>
      <c r="N178" t="s">
        <v>39</v>
      </c>
    </row>
    <row r="179" spans="2:14">
      <c r="B179" t="s">
        <v>448</v>
      </c>
      <c r="C179" t="s">
        <v>37</v>
      </c>
      <c r="D179" t="s">
        <v>201</v>
      </c>
      <c r="E179" t="s">
        <v>25</v>
      </c>
      <c r="H179" t="s">
        <v>34</v>
      </c>
      <c r="I179" t="s">
        <v>34</v>
      </c>
      <c r="N179" t="s">
        <v>39</v>
      </c>
    </row>
    <row r="180" spans="2:14">
      <c r="B180" t="s">
        <v>449</v>
      </c>
      <c r="C180" t="s">
        <v>37</v>
      </c>
      <c r="D180" t="s">
        <v>201</v>
      </c>
      <c r="E180" t="s">
        <v>25</v>
      </c>
      <c r="H180" t="s">
        <v>34</v>
      </c>
      <c r="I180" t="s">
        <v>34</v>
      </c>
      <c r="N180" t="s">
        <v>39</v>
      </c>
    </row>
    <row r="181" spans="2:14">
      <c r="B181" t="s">
        <v>450</v>
      </c>
      <c r="C181" t="s">
        <v>37</v>
      </c>
      <c r="D181" t="s">
        <v>201</v>
      </c>
      <c r="E181" t="s">
        <v>25</v>
      </c>
      <c r="H181" t="s">
        <v>34</v>
      </c>
      <c r="I181" t="s">
        <v>34</v>
      </c>
      <c r="N181" t="s">
        <v>39</v>
      </c>
    </row>
    <row r="182" spans="2:14">
      <c r="B182" t="s">
        <v>451</v>
      </c>
      <c r="C182" t="s">
        <v>37</v>
      </c>
      <c r="D182" t="s">
        <v>201</v>
      </c>
      <c r="E182" t="s">
        <v>25</v>
      </c>
      <c r="H182" t="s">
        <v>34</v>
      </c>
      <c r="I182" t="s">
        <v>34</v>
      </c>
      <c r="N182" t="s">
        <v>39</v>
      </c>
    </row>
    <row r="183" spans="2:14">
      <c r="B183" t="s">
        <v>452</v>
      </c>
      <c r="C183" t="s">
        <v>37</v>
      </c>
      <c r="D183" t="s">
        <v>201</v>
      </c>
      <c r="E183" t="s">
        <v>25</v>
      </c>
      <c r="H183" t="s">
        <v>34</v>
      </c>
      <c r="I183" t="s">
        <v>34</v>
      </c>
      <c r="N183" t="s">
        <v>39</v>
      </c>
    </row>
    <row r="184" spans="2:14">
      <c r="B184" t="s">
        <v>453</v>
      </c>
      <c r="C184" t="s">
        <v>37</v>
      </c>
      <c r="D184" t="s">
        <v>201</v>
      </c>
      <c r="E184" t="s">
        <v>25</v>
      </c>
      <c r="H184" t="s">
        <v>34</v>
      </c>
      <c r="I184" t="s">
        <v>34</v>
      </c>
      <c r="N184" t="s">
        <v>39</v>
      </c>
    </row>
    <row r="185" spans="2:14">
      <c r="B185" t="s">
        <v>454</v>
      </c>
      <c r="C185" t="s">
        <v>37</v>
      </c>
      <c r="D185" t="s">
        <v>201</v>
      </c>
      <c r="E185" t="s">
        <v>25</v>
      </c>
      <c r="H185" t="s">
        <v>34</v>
      </c>
      <c r="I185" t="s">
        <v>34</v>
      </c>
      <c r="N185" t="s">
        <v>39</v>
      </c>
    </row>
    <row r="186" spans="2:14">
      <c r="B186" t="s">
        <v>455</v>
      </c>
      <c r="C186" t="s">
        <v>37</v>
      </c>
      <c r="D186" t="s">
        <v>201</v>
      </c>
      <c r="E186" t="s">
        <v>25</v>
      </c>
      <c r="H186" t="s">
        <v>34</v>
      </c>
      <c r="I186" t="s">
        <v>34</v>
      </c>
      <c r="N186" t="s">
        <v>39</v>
      </c>
    </row>
    <row r="187" spans="2:14">
      <c r="B187" t="s">
        <v>456</v>
      </c>
      <c r="C187" t="s">
        <v>37</v>
      </c>
      <c r="D187" t="s">
        <v>201</v>
      </c>
      <c r="E187" t="s">
        <v>25</v>
      </c>
      <c r="H187" t="s">
        <v>34</v>
      </c>
      <c r="I187" t="s">
        <v>34</v>
      </c>
      <c r="N187" t="s">
        <v>39</v>
      </c>
    </row>
    <row r="188" spans="2:14">
      <c r="B188" t="s">
        <v>457</v>
      </c>
      <c r="C188" t="s">
        <v>37</v>
      </c>
      <c r="D188" t="s">
        <v>201</v>
      </c>
      <c r="E188" t="s">
        <v>25</v>
      </c>
      <c r="H188" t="s">
        <v>34</v>
      </c>
      <c r="I188" t="s">
        <v>34</v>
      </c>
      <c r="N188" t="s">
        <v>39</v>
      </c>
    </row>
    <row r="189" spans="2:14">
      <c r="B189" t="s">
        <v>458</v>
      </c>
      <c r="C189" t="s">
        <v>37</v>
      </c>
      <c r="D189" t="s">
        <v>201</v>
      </c>
      <c r="E189" t="s">
        <v>25</v>
      </c>
      <c r="H189" t="s">
        <v>34</v>
      </c>
      <c r="I189" t="s">
        <v>34</v>
      </c>
      <c r="N189" t="s">
        <v>39</v>
      </c>
    </row>
    <row r="190" spans="2:14">
      <c r="B190" t="s">
        <v>459</v>
      </c>
      <c r="C190" t="s">
        <v>37</v>
      </c>
      <c r="D190" t="s">
        <v>201</v>
      </c>
      <c r="E190" t="s">
        <v>25</v>
      </c>
      <c r="H190" t="s">
        <v>34</v>
      </c>
      <c r="I190" t="s">
        <v>34</v>
      </c>
      <c r="N190" t="s">
        <v>39</v>
      </c>
    </row>
    <row r="191" spans="2:14">
      <c r="B191" t="s">
        <v>460</v>
      </c>
      <c r="C191" t="s">
        <v>37</v>
      </c>
      <c r="D191" t="s">
        <v>201</v>
      </c>
      <c r="E191" t="s">
        <v>25</v>
      </c>
      <c r="H191" t="s">
        <v>34</v>
      </c>
      <c r="I191" t="s">
        <v>34</v>
      </c>
      <c r="N191" t="s">
        <v>39</v>
      </c>
    </row>
    <row r="192" spans="2:14">
      <c r="B192" t="s">
        <v>461</v>
      </c>
      <c r="C192" t="s">
        <v>37</v>
      </c>
      <c r="D192" t="s">
        <v>201</v>
      </c>
      <c r="E192" t="s">
        <v>25</v>
      </c>
      <c r="H192" t="s">
        <v>34</v>
      </c>
      <c r="I192" t="s">
        <v>34</v>
      </c>
      <c r="N192" t="s">
        <v>39</v>
      </c>
    </row>
    <row r="193" spans="2:14">
      <c r="B193" t="s">
        <v>462</v>
      </c>
      <c r="C193" t="s">
        <v>37</v>
      </c>
      <c r="D193" t="s">
        <v>201</v>
      </c>
      <c r="E193" t="s">
        <v>25</v>
      </c>
      <c r="H193" t="s">
        <v>34</v>
      </c>
      <c r="I193" t="s">
        <v>34</v>
      </c>
      <c r="N193" t="s">
        <v>39</v>
      </c>
    </row>
    <row r="194" spans="2:14">
      <c r="B194" t="s">
        <v>463</v>
      </c>
      <c r="C194" t="s">
        <v>37</v>
      </c>
      <c r="D194" t="s">
        <v>201</v>
      </c>
      <c r="E194" t="s">
        <v>25</v>
      </c>
      <c r="H194" t="s">
        <v>34</v>
      </c>
      <c r="I194" t="s">
        <v>34</v>
      </c>
      <c r="N194" t="s">
        <v>39</v>
      </c>
    </row>
    <row r="195" spans="2:14">
      <c r="B195" t="s">
        <v>464</v>
      </c>
      <c r="C195" t="s">
        <v>37</v>
      </c>
      <c r="D195" t="s">
        <v>201</v>
      </c>
      <c r="E195" t="s">
        <v>25</v>
      </c>
      <c r="H195" t="s">
        <v>34</v>
      </c>
      <c r="I195" t="s">
        <v>34</v>
      </c>
      <c r="N195" t="s">
        <v>39</v>
      </c>
    </row>
    <row r="196" spans="2:14">
      <c r="B196" t="s">
        <v>465</v>
      </c>
      <c r="C196" t="s">
        <v>37</v>
      </c>
      <c r="D196" t="s">
        <v>201</v>
      </c>
      <c r="E196" t="s">
        <v>25</v>
      </c>
      <c r="H196" t="s">
        <v>34</v>
      </c>
      <c r="I196" t="s">
        <v>34</v>
      </c>
      <c r="N196" t="s">
        <v>39</v>
      </c>
    </row>
    <row r="197" spans="2:14">
      <c r="B197" t="s">
        <v>466</v>
      </c>
      <c r="C197" t="s">
        <v>37</v>
      </c>
      <c r="D197" t="s">
        <v>201</v>
      </c>
      <c r="E197" t="s">
        <v>25</v>
      </c>
      <c r="H197" t="s">
        <v>34</v>
      </c>
      <c r="I197" t="s">
        <v>34</v>
      </c>
      <c r="N197" t="s">
        <v>39</v>
      </c>
    </row>
    <row r="198" spans="2:14">
      <c r="B198" t="s">
        <v>467</v>
      </c>
      <c r="C198" t="s">
        <v>37</v>
      </c>
      <c r="D198" t="s">
        <v>201</v>
      </c>
      <c r="E198" t="s">
        <v>25</v>
      </c>
      <c r="H198" t="s">
        <v>34</v>
      </c>
      <c r="I198" t="s">
        <v>34</v>
      </c>
      <c r="N198" t="s">
        <v>39</v>
      </c>
    </row>
    <row r="199" spans="2:14">
      <c r="B199" t="s">
        <v>468</v>
      </c>
      <c r="C199" t="s">
        <v>37</v>
      </c>
      <c r="D199" t="s">
        <v>201</v>
      </c>
      <c r="E199" t="s">
        <v>25</v>
      </c>
      <c r="H199" t="s">
        <v>34</v>
      </c>
      <c r="I199" t="s">
        <v>34</v>
      </c>
      <c r="N199" t="s">
        <v>39</v>
      </c>
    </row>
    <row r="200" spans="2:14">
      <c r="B200" t="s">
        <v>469</v>
      </c>
      <c r="C200" t="s">
        <v>37</v>
      </c>
      <c r="D200" t="s">
        <v>201</v>
      </c>
      <c r="E200" t="s">
        <v>25</v>
      </c>
      <c r="H200" t="s">
        <v>34</v>
      </c>
      <c r="I200" t="s">
        <v>34</v>
      </c>
      <c r="N200" t="s">
        <v>39</v>
      </c>
    </row>
    <row r="201" spans="2:14">
      <c r="B201" t="s">
        <v>470</v>
      </c>
      <c r="C201" t="s">
        <v>37</v>
      </c>
      <c r="D201" t="s">
        <v>201</v>
      </c>
      <c r="E201" t="s">
        <v>25</v>
      </c>
      <c r="H201" t="s">
        <v>34</v>
      </c>
      <c r="I201" t="s">
        <v>34</v>
      </c>
      <c r="N201" t="s">
        <v>39</v>
      </c>
    </row>
    <row r="202" spans="2:14">
      <c r="B202" t="s">
        <v>471</v>
      </c>
      <c r="C202" t="s">
        <v>37</v>
      </c>
      <c r="D202" t="s">
        <v>201</v>
      </c>
      <c r="E202" t="s">
        <v>25</v>
      </c>
      <c r="H202" t="s">
        <v>34</v>
      </c>
      <c r="I202" t="s">
        <v>34</v>
      </c>
      <c r="N202" t="s">
        <v>39</v>
      </c>
    </row>
    <row r="203" spans="2:14">
      <c r="B203" t="s">
        <v>472</v>
      </c>
      <c r="C203" t="s">
        <v>37</v>
      </c>
      <c r="D203" t="s">
        <v>201</v>
      </c>
      <c r="E203" t="s">
        <v>25</v>
      </c>
      <c r="H203" t="s">
        <v>34</v>
      </c>
      <c r="I203" t="s">
        <v>34</v>
      </c>
      <c r="N203" t="s">
        <v>39</v>
      </c>
    </row>
    <row r="204" spans="2:14">
      <c r="B204" t="s">
        <v>473</v>
      </c>
      <c r="C204" t="s">
        <v>37</v>
      </c>
      <c r="D204" t="s">
        <v>201</v>
      </c>
      <c r="E204" t="s">
        <v>25</v>
      </c>
      <c r="H204" t="s">
        <v>34</v>
      </c>
      <c r="I204" t="s">
        <v>34</v>
      </c>
      <c r="N204" t="s">
        <v>39</v>
      </c>
    </row>
    <row r="205" spans="2:14">
      <c r="B205" t="s">
        <v>474</v>
      </c>
      <c r="C205" t="s">
        <v>37</v>
      </c>
      <c r="D205" t="s">
        <v>201</v>
      </c>
      <c r="E205" t="s">
        <v>25</v>
      </c>
      <c r="H205" t="s">
        <v>34</v>
      </c>
      <c r="I205" t="s">
        <v>34</v>
      </c>
      <c r="N205" t="s">
        <v>39</v>
      </c>
    </row>
    <row r="206" spans="2:14">
      <c r="B206" t="s">
        <v>475</v>
      </c>
      <c r="C206" t="s">
        <v>37</v>
      </c>
      <c r="D206" t="s">
        <v>201</v>
      </c>
      <c r="E206" t="s">
        <v>25</v>
      </c>
      <c r="H206" t="s">
        <v>34</v>
      </c>
      <c r="I206" t="s">
        <v>34</v>
      </c>
      <c r="N206" t="s">
        <v>39</v>
      </c>
    </row>
    <row r="207" spans="2:14">
      <c r="B207" t="s">
        <v>476</v>
      </c>
      <c r="C207" t="s">
        <v>37</v>
      </c>
      <c r="D207" t="s">
        <v>201</v>
      </c>
      <c r="E207" t="s">
        <v>25</v>
      </c>
      <c r="H207" t="s">
        <v>34</v>
      </c>
      <c r="I207" t="s">
        <v>34</v>
      </c>
      <c r="N207" t="s">
        <v>39</v>
      </c>
    </row>
    <row r="208" spans="2:14">
      <c r="B208" t="s">
        <v>477</v>
      </c>
      <c r="C208" t="s">
        <v>37</v>
      </c>
      <c r="D208" t="s">
        <v>201</v>
      </c>
      <c r="E208" t="s">
        <v>25</v>
      </c>
      <c r="H208" t="s">
        <v>34</v>
      </c>
      <c r="I208" t="s">
        <v>34</v>
      </c>
      <c r="N208" t="s">
        <v>39</v>
      </c>
    </row>
    <row r="209" spans="2:14">
      <c r="B209" t="s">
        <v>478</v>
      </c>
      <c r="C209" t="s">
        <v>37</v>
      </c>
      <c r="D209" t="s">
        <v>201</v>
      </c>
      <c r="E209" t="s">
        <v>25</v>
      </c>
      <c r="H209" t="s">
        <v>34</v>
      </c>
      <c r="I209" t="s">
        <v>34</v>
      </c>
      <c r="N209" t="s">
        <v>39</v>
      </c>
    </row>
    <row r="210" spans="2:14">
      <c r="B210" t="s">
        <v>479</v>
      </c>
      <c r="C210" t="s">
        <v>37</v>
      </c>
      <c r="D210" t="s">
        <v>201</v>
      </c>
      <c r="E210" t="s">
        <v>25</v>
      </c>
      <c r="H210" t="s">
        <v>34</v>
      </c>
      <c r="I210" t="s">
        <v>34</v>
      </c>
      <c r="N210" t="s">
        <v>39</v>
      </c>
    </row>
    <row r="211" spans="2:14">
      <c r="B211" t="s">
        <v>480</v>
      </c>
      <c r="C211" t="s">
        <v>37</v>
      </c>
      <c r="D211" t="s">
        <v>201</v>
      </c>
      <c r="E211" t="s">
        <v>25</v>
      </c>
      <c r="H211" t="s">
        <v>34</v>
      </c>
      <c r="I211" t="s">
        <v>34</v>
      </c>
      <c r="N211" t="s">
        <v>39</v>
      </c>
    </row>
    <row r="212" spans="2:14">
      <c r="B212" t="s">
        <v>481</v>
      </c>
      <c r="C212" t="s">
        <v>37</v>
      </c>
      <c r="D212" t="s">
        <v>201</v>
      </c>
      <c r="E212" t="s">
        <v>25</v>
      </c>
      <c r="H212" t="s">
        <v>34</v>
      </c>
      <c r="I212" t="s">
        <v>34</v>
      </c>
      <c r="N212" t="s">
        <v>39</v>
      </c>
    </row>
    <row r="213" spans="2:14">
      <c r="B213" t="s">
        <v>482</v>
      </c>
      <c r="C213" t="s">
        <v>37</v>
      </c>
      <c r="D213" t="s">
        <v>201</v>
      </c>
      <c r="E213" t="s">
        <v>25</v>
      </c>
      <c r="H213" t="s">
        <v>34</v>
      </c>
      <c r="I213" t="s">
        <v>34</v>
      </c>
      <c r="N213" t="s">
        <v>39</v>
      </c>
    </row>
    <row r="214" spans="2:14">
      <c r="B214" t="s">
        <v>483</v>
      </c>
      <c r="C214" t="s">
        <v>37</v>
      </c>
      <c r="D214" t="s">
        <v>201</v>
      </c>
      <c r="E214" t="s">
        <v>25</v>
      </c>
      <c r="H214" t="s">
        <v>34</v>
      </c>
      <c r="I214" t="s">
        <v>34</v>
      </c>
      <c r="N214" t="s">
        <v>39</v>
      </c>
    </row>
    <row r="215" spans="2:14">
      <c r="B215" t="s">
        <v>484</v>
      </c>
      <c r="C215" t="s">
        <v>37</v>
      </c>
      <c r="D215" t="s">
        <v>201</v>
      </c>
      <c r="E215" t="s">
        <v>25</v>
      </c>
      <c r="H215" t="s">
        <v>34</v>
      </c>
      <c r="I215" t="s">
        <v>34</v>
      </c>
      <c r="N215" t="s">
        <v>39</v>
      </c>
    </row>
    <row r="216" spans="2:14">
      <c r="B216" t="s">
        <v>485</v>
      </c>
      <c r="C216" t="s">
        <v>37</v>
      </c>
      <c r="D216" t="s">
        <v>201</v>
      </c>
      <c r="E216" t="s">
        <v>25</v>
      </c>
      <c r="H216" t="s">
        <v>34</v>
      </c>
      <c r="I216" t="s">
        <v>34</v>
      </c>
      <c r="N216" t="s">
        <v>39</v>
      </c>
    </row>
    <row r="217" spans="2:14">
      <c r="B217" t="s">
        <v>486</v>
      </c>
      <c r="C217" t="s">
        <v>37</v>
      </c>
      <c r="D217" t="s">
        <v>201</v>
      </c>
      <c r="E217" t="s">
        <v>25</v>
      </c>
      <c r="H217" t="s">
        <v>34</v>
      </c>
      <c r="I217" t="s">
        <v>34</v>
      </c>
      <c r="N217" t="s">
        <v>39</v>
      </c>
    </row>
    <row r="218" spans="2:14">
      <c r="B218" t="s">
        <v>487</v>
      </c>
      <c r="C218" t="s">
        <v>23</v>
      </c>
      <c r="D218" t="s">
        <v>201</v>
      </c>
      <c r="E218" t="s">
        <v>25</v>
      </c>
      <c r="H218" t="s">
        <v>34</v>
      </c>
      <c r="I218" t="s">
        <v>34</v>
      </c>
      <c r="N218" t="s">
        <v>39</v>
      </c>
    </row>
    <row r="219" spans="2:14">
      <c r="B219" t="s">
        <v>488</v>
      </c>
      <c r="C219" t="s">
        <v>23</v>
      </c>
      <c r="D219" t="s">
        <v>201</v>
      </c>
      <c r="E219" t="s">
        <v>25</v>
      </c>
      <c r="H219" t="s">
        <v>34</v>
      </c>
      <c r="I219" t="s">
        <v>34</v>
      </c>
      <c r="N219" t="s">
        <v>39</v>
      </c>
    </row>
    <row r="220" spans="2:14">
      <c r="B220" t="s">
        <v>489</v>
      </c>
      <c r="C220" t="s">
        <v>37</v>
      </c>
      <c r="D220" t="s">
        <v>201</v>
      </c>
      <c r="E220" t="s">
        <v>25</v>
      </c>
      <c r="H220" t="s">
        <v>34</v>
      </c>
      <c r="I220" t="s">
        <v>34</v>
      </c>
      <c r="N220" t="s">
        <v>39</v>
      </c>
    </row>
    <row r="221" spans="2:14">
      <c r="B221" t="s">
        <v>490</v>
      </c>
      <c r="C221" t="s">
        <v>37</v>
      </c>
      <c r="D221" t="s">
        <v>201</v>
      </c>
      <c r="E221" t="s">
        <v>25</v>
      </c>
      <c r="H221" t="s">
        <v>34</v>
      </c>
      <c r="I221" t="s">
        <v>34</v>
      </c>
      <c r="N221" t="s">
        <v>39</v>
      </c>
    </row>
    <row r="222" spans="2:14">
      <c r="B222" t="s">
        <v>491</v>
      </c>
      <c r="C222" t="s">
        <v>37</v>
      </c>
      <c r="D222" t="s">
        <v>201</v>
      </c>
      <c r="E222" t="s">
        <v>25</v>
      </c>
      <c r="H222" t="s">
        <v>34</v>
      </c>
      <c r="I222" t="s">
        <v>34</v>
      </c>
      <c r="N222" t="s">
        <v>39</v>
      </c>
    </row>
    <row r="223" spans="2:14">
      <c r="B223" t="s">
        <v>492</v>
      </c>
      <c r="C223" t="s">
        <v>37</v>
      </c>
      <c r="D223" t="s">
        <v>201</v>
      </c>
      <c r="E223" t="s">
        <v>25</v>
      </c>
      <c r="H223" t="s">
        <v>34</v>
      </c>
      <c r="I223" t="s">
        <v>34</v>
      </c>
      <c r="N223" t="s">
        <v>39</v>
      </c>
    </row>
    <row r="224" spans="2:14">
      <c r="B224" t="s">
        <v>493</v>
      </c>
      <c r="C224" t="s">
        <v>37</v>
      </c>
      <c r="D224" t="s">
        <v>201</v>
      </c>
      <c r="E224" t="s">
        <v>25</v>
      </c>
      <c r="H224" t="s">
        <v>34</v>
      </c>
      <c r="I224" t="s">
        <v>34</v>
      </c>
      <c r="N224" t="s">
        <v>39</v>
      </c>
    </row>
    <row r="225" spans="2:14">
      <c r="B225" t="s">
        <v>494</v>
      </c>
      <c r="C225" t="s">
        <v>37</v>
      </c>
      <c r="D225" t="s">
        <v>201</v>
      </c>
      <c r="E225" t="s">
        <v>25</v>
      </c>
      <c r="H225" t="s">
        <v>34</v>
      </c>
      <c r="I225" t="s">
        <v>34</v>
      </c>
      <c r="N225" t="s">
        <v>39</v>
      </c>
    </row>
    <row r="226" spans="2:14">
      <c r="B226" t="s">
        <v>495</v>
      </c>
      <c r="C226" t="s">
        <v>37</v>
      </c>
      <c r="D226" t="s">
        <v>201</v>
      </c>
      <c r="E226" t="s">
        <v>25</v>
      </c>
      <c r="H226" t="s">
        <v>34</v>
      </c>
      <c r="I226" t="s">
        <v>34</v>
      </c>
      <c r="N226" t="s">
        <v>39</v>
      </c>
    </row>
    <row r="227" spans="2:14">
      <c r="B227" t="s">
        <v>496</v>
      </c>
      <c r="C227" t="s">
        <v>37</v>
      </c>
      <c r="D227" t="s">
        <v>201</v>
      </c>
      <c r="E227" t="s">
        <v>25</v>
      </c>
      <c r="H227" t="s">
        <v>34</v>
      </c>
      <c r="I227" t="s">
        <v>34</v>
      </c>
      <c r="N227" t="s">
        <v>39</v>
      </c>
    </row>
    <row r="228" spans="2:14">
      <c r="B228" t="s">
        <v>497</v>
      </c>
      <c r="C228" t="s">
        <v>37</v>
      </c>
      <c r="D228" t="s">
        <v>201</v>
      </c>
      <c r="E228" t="s">
        <v>25</v>
      </c>
      <c r="H228" t="s">
        <v>34</v>
      </c>
      <c r="I228" t="s">
        <v>34</v>
      </c>
      <c r="N228" t="s">
        <v>39</v>
      </c>
    </row>
    <row r="229" spans="2:14">
      <c r="B229" t="s">
        <v>498</v>
      </c>
      <c r="C229" t="s">
        <v>37</v>
      </c>
      <c r="D229" t="s">
        <v>201</v>
      </c>
      <c r="E229" t="s">
        <v>25</v>
      </c>
      <c r="H229" t="s">
        <v>34</v>
      </c>
      <c r="I229" t="s">
        <v>34</v>
      </c>
      <c r="N229" t="s">
        <v>39</v>
      </c>
    </row>
    <row r="230" spans="2:14">
      <c r="B230" t="s">
        <v>499</v>
      </c>
      <c r="C230" t="s">
        <v>37</v>
      </c>
      <c r="D230" t="s">
        <v>201</v>
      </c>
      <c r="E230" t="s">
        <v>25</v>
      </c>
      <c r="H230" t="s">
        <v>34</v>
      </c>
      <c r="I230" t="s">
        <v>34</v>
      </c>
      <c r="N230" t="s">
        <v>39</v>
      </c>
    </row>
    <row r="231" spans="2:14">
      <c r="B231" t="s">
        <v>500</v>
      </c>
      <c r="C231" t="s">
        <v>37</v>
      </c>
      <c r="D231" t="s">
        <v>201</v>
      </c>
      <c r="E231" t="s">
        <v>25</v>
      </c>
      <c r="H231" t="s">
        <v>34</v>
      </c>
      <c r="I231" t="s">
        <v>34</v>
      </c>
      <c r="N231" t="s">
        <v>39</v>
      </c>
    </row>
    <row r="232" spans="2:14">
      <c r="B232" t="s">
        <v>501</v>
      </c>
      <c r="C232" t="s">
        <v>37</v>
      </c>
      <c r="D232" t="s">
        <v>201</v>
      </c>
      <c r="E232" t="s">
        <v>25</v>
      </c>
      <c r="H232" t="s">
        <v>34</v>
      </c>
      <c r="I232" t="s">
        <v>34</v>
      </c>
      <c r="N232" t="s">
        <v>39</v>
      </c>
    </row>
    <row r="233" spans="2:14">
      <c r="B233" t="s">
        <v>502</v>
      </c>
      <c r="C233" t="s">
        <v>37</v>
      </c>
      <c r="D233" t="s">
        <v>201</v>
      </c>
      <c r="E233" t="s">
        <v>25</v>
      </c>
      <c r="H233" t="s">
        <v>34</v>
      </c>
      <c r="I233" t="s">
        <v>34</v>
      </c>
      <c r="N233" t="s">
        <v>39</v>
      </c>
    </row>
    <row r="234" spans="2:14">
      <c r="B234" t="s">
        <v>503</v>
      </c>
      <c r="C234" t="s">
        <v>37</v>
      </c>
      <c r="D234" t="s">
        <v>201</v>
      </c>
      <c r="E234" t="s">
        <v>25</v>
      </c>
      <c r="H234" t="s">
        <v>34</v>
      </c>
      <c r="I234" t="s">
        <v>34</v>
      </c>
      <c r="N234" t="s">
        <v>39</v>
      </c>
    </row>
    <row r="235" spans="2:14">
      <c r="B235" t="s">
        <v>504</v>
      </c>
      <c r="C235" t="s">
        <v>37</v>
      </c>
      <c r="D235" t="s">
        <v>201</v>
      </c>
      <c r="E235" t="s">
        <v>25</v>
      </c>
      <c r="H235" t="s">
        <v>34</v>
      </c>
      <c r="I235" t="s">
        <v>34</v>
      </c>
      <c r="N235" t="s">
        <v>39</v>
      </c>
    </row>
    <row r="236" spans="2:14">
      <c r="B236" t="s">
        <v>505</v>
      </c>
      <c r="C236" t="s">
        <v>37</v>
      </c>
      <c r="D236" t="s">
        <v>201</v>
      </c>
      <c r="E236" t="s">
        <v>25</v>
      </c>
      <c r="H236" t="s">
        <v>34</v>
      </c>
      <c r="I236" t="s">
        <v>34</v>
      </c>
      <c r="N236" t="s">
        <v>39</v>
      </c>
    </row>
    <row r="237" spans="2:14">
      <c r="B237" t="s">
        <v>506</v>
      </c>
      <c r="C237" t="s">
        <v>37</v>
      </c>
      <c r="D237" t="s">
        <v>201</v>
      </c>
      <c r="E237" t="s">
        <v>25</v>
      </c>
      <c r="H237" t="s">
        <v>34</v>
      </c>
      <c r="I237" t="s">
        <v>34</v>
      </c>
      <c r="N237" t="s">
        <v>39</v>
      </c>
    </row>
    <row r="238" spans="2:14">
      <c r="B238" t="s">
        <v>507</v>
      </c>
      <c r="C238" t="s">
        <v>37</v>
      </c>
      <c r="D238" t="s">
        <v>201</v>
      </c>
      <c r="E238" t="s">
        <v>25</v>
      </c>
      <c r="H238" t="s">
        <v>34</v>
      </c>
      <c r="I238" t="s">
        <v>34</v>
      </c>
      <c r="N238" t="s">
        <v>39</v>
      </c>
    </row>
    <row r="239" spans="2:14">
      <c r="B239" t="s">
        <v>508</v>
      </c>
      <c r="C239" t="s">
        <v>37</v>
      </c>
      <c r="D239" t="s">
        <v>201</v>
      </c>
      <c r="E239" t="s">
        <v>25</v>
      </c>
      <c r="H239" t="s">
        <v>34</v>
      </c>
      <c r="I239" t="s">
        <v>34</v>
      </c>
      <c r="N239" t="s">
        <v>39</v>
      </c>
    </row>
    <row r="240" spans="2:14">
      <c r="B240" t="s">
        <v>509</v>
      </c>
      <c r="C240" t="s">
        <v>37</v>
      </c>
      <c r="D240" t="s">
        <v>201</v>
      </c>
      <c r="E240" t="s">
        <v>25</v>
      </c>
      <c r="H240" t="s">
        <v>34</v>
      </c>
      <c r="I240" t="s">
        <v>34</v>
      </c>
      <c r="N240" t="s">
        <v>39</v>
      </c>
    </row>
    <row r="241" spans="2:14">
      <c r="B241" t="s">
        <v>510</v>
      </c>
      <c r="C241" t="s">
        <v>37</v>
      </c>
      <c r="D241" t="s">
        <v>201</v>
      </c>
      <c r="E241" t="s">
        <v>25</v>
      </c>
      <c r="H241" t="s">
        <v>34</v>
      </c>
      <c r="I241" t="s">
        <v>34</v>
      </c>
      <c r="N241" t="s">
        <v>39</v>
      </c>
    </row>
    <row r="242" spans="2:14">
      <c r="B242" t="s">
        <v>511</v>
      </c>
      <c r="C242" t="s">
        <v>37</v>
      </c>
      <c r="D242" t="s">
        <v>201</v>
      </c>
      <c r="E242" t="s">
        <v>25</v>
      </c>
      <c r="H242" t="s">
        <v>34</v>
      </c>
      <c r="I242" t="s">
        <v>34</v>
      </c>
      <c r="N242" t="s">
        <v>39</v>
      </c>
    </row>
    <row r="243" spans="2:14">
      <c r="B243" t="s">
        <v>512</v>
      </c>
      <c r="C243" t="s">
        <v>37</v>
      </c>
      <c r="D243" t="s">
        <v>201</v>
      </c>
      <c r="E243" t="s">
        <v>25</v>
      </c>
      <c r="H243" t="s">
        <v>34</v>
      </c>
      <c r="I243" t="s">
        <v>34</v>
      </c>
      <c r="N243" t="s">
        <v>39</v>
      </c>
    </row>
    <row r="244" spans="2:14">
      <c r="B244" t="s">
        <v>513</v>
      </c>
      <c r="C244" t="s">
        <v>37</v>
      </c>
      <c r="D244" t="s">
        <v>201</v>
      </c>
      <c r="E244" t="s">
        <v>25</v>
      </c>
      <c r="H244" t="s">
        <v>34</v>
      </c>
      <c r="I244" t="s">
        <v>34</v>
      </c>
      <c r="N244" t="s">
        <v>39</v>
      </c>
    </row>
    <row r="245" spans="2:14">
      <c r="B245" t="s">
        <v>514</v>
      </c>
      <c r="C245" t="s">
        <v>37</v>
      </c>
      <c r="D245" t="s">
        <v>201</v>
      </c>
      <c r="E245" t="s">
        <v>25</v>
      </c>
      <c r="H245" t="s">
        <v>34</v>
      </c>
      <c r="I245" t="s">
        <v>34</v>
      </c>
      <c r="N245" t="s">
        <v>39</v>
      </c>
    </row>
    <row r="246" spans="2:14">
      <c r="B246" t="s">
        <v>515</v>
      </c>
      <c r="C246" t="s">
        <v>37</v>
      </c>
      <c r="D246" t="s">
        <v>201</v>
      </c>
      <c r="E246" t="s">
        <v>25</v>
      </c>
      <c r="H246" t="s">
        <v>34</v>
      </c>
      <c r="I246" t="s">
        <v>34</v>
      </c>
      <c r="N246" t="s">
        <v>39</v>
      </c>
    </row>
    <row r="247" spans="2:14">
      <c r="B247" t="s">
        <v>516</v>
      </c>
      <c r="C247" t="s">
        <v>37</v>
      </c>
      <c r="D247" t="s">
        <v>201</v>
      </c>
      <c r="E247" t="s">
        <v>25</v>
      </c>
      <c r="H247" t="s">
        <v>34</v>
      </c>
      <c r="I247" t="s">
        <v>34</v>
      </c>
      <c r="N247" t="s">
        <v>39</v>
      </c>
    </row>
    <row r="248" spans="2:14">
      <c r="B248" t="s">
        <v>517</v>
      </c>
      <c r="C248" t="s">
        <v>37</v>
      </c>
      <c r="D248" t="s">
        <v>201</v>
      </c>
      <c r="E248" t="s">
        <v>25</v>
      </c>
      <c r="H248" t="s">
        <v>34</v>
      </c>
      <c r="I248" t="s">
        <v>34</v>
      </c>
      <c r="N248" t="s">
        <v>39</v>
      </c>
    </row>
    <row r="249" spans="2:14">
      <c r="B249" t="s">
        <v>518</v>
      </c>
      <c r="C249" t="s">
        <v>37</v>
      </c>
      <c r="D249" t="s">
        <v>201</v>
      </c>
      <c r="E249" t="s">
        <v>25</v>
      </c>
      <c r="H249" t="s">
        <v>34</v>
      </c>
      <c r="I249" t="s">
        <v>34</v>
      </c>
      <c r="N249" t="s">
        <v>39</v>
      </c>
    </row>
    <row r="250" spans="2:14">
      <c r="B250" t="s">
        <v>519</v>
      </c>
      <c r="C250" t="s">
        <v>37</v>
      </c>
      <c r="D250" t="s">
        <v>201</v>
      </c>
      <c r="E250" t="s">
        <v>25</v>
      </c>
      <c r="H250" t="s">
        <v>34</v>
      </c>
      <c r="I250" t="s">
        <v>34</v>
      </c>
      <c r="N250" t="s">
        <v>39</v>
      </c>
    </row>
    <row r="251" spans="2:14">
      <c r="B251" t="s">
        <v>520</v>
      </c>
      <c r="C251" t="s">
        <v>37</v>
      </c>
      <c r="D251" t="s">
        <v>201</v>
      </c>
      <c r="E251" t="s">
        <v>25</v>
      </c>
      <c r="H251" t="s">
        <v>34</v>
      </c>
      <c r="I251" t="s">
        <v>34</v>
      </c>
      <c r="N251" t="s">
        <v>39</v>
      </c>
    </row>
    <row r="252" spans="2:14">
      <c r="B252" t="s">
        <v>521</v>
      </c>
      <c r="C252" t="s">
        <v>37</v>
      </c>
      <c r="D252" t="s">
        <v>201</v>
      </c>
      <c r="E252" t="s">
        <v>25</v>
      </c>
      <c r="H252" t="s">
        <v>34</v>
      </c>
      <c r="I252" t="s">
        <v>34</v>
      </c>
      <c r="N252" t="s">
        <v>39</v>
      </c>
    </row>
    <row r="253" spans="2:14">
      <c r="B253" t="s">
        <v>522</v>
      </c>
      <c r="C253" t="s">
        <v>37</v>
      </c>
      <c r="D253" t="s">
        <v>201</v>
      </c>
      <c r="E253" t="s">
        <v>25</v>
      </c>
      <c r="H253" t="s">
        <v>34</v>
      </c>
      <c r="I253" t="s">
        <v>34</v>
      </c>
      <c r="N253" t="s">
        <v>39</v>
      </c>
    </row>
    <row r="254" spans="2:14">
      <c r="B254" t="s">
        <v>523</v>
      </c>
      <c r="C254" t="s">
        <v>37</v>
      </c>
      <c r="D254" t="s">
        <v>201</v>
      </c>
      <c r="E254" t="s">
        <v>25</v>
      </c>
      <c r="H254" t="s">
        <v>34</v>
      </c>
      <c r="I254" t="s">
        <v>34</v>
      </c>
      <c r="N254" t="s">
        <v>39</v>
      </c>
    </row>
    <row r="255" spans="2:14">
      <c r="B255" t="s">
        <v>524</v>
      </c>
      <c r="C255" t="s">
        <v>37</v>
      </c>
      <c r="D255" t="s">
        <v>201</v>
      </c>
      <c r="E255" t="s">
        <v>25</v>
      </c>
      <c r="H255" t="s">
        <v>34</v>
      </c>
      <c r="I255" t="s">
        <v>34</v>
      </c>
      <c r="N255" t="s">
        <v>39</v>
      </c>
    </row>
    <row r="256" spans="2:14">
      <c r="B256" t="s">
        <v>525</v>
      </c>
      <c r="C256" t="s">
        <v>37</v>
      </c>
      <c r="D256" t="s">
        <v>201</v>
      </c>
      <c r="E256" t="s">
        <v>25</v>
      </c>
      <c r="H256" t="s">
        <v>34</v>
      </c>
      <c r="I256" t="s">
        <v>34</v>
      </c>
      <c r="N256" t="s">
        <v>39</v>
      </c>
    </row>
    <row r="257" spans="2:14">
      <c r="B257" t="s">
        <v>526</v>
      </c>
      <c r="C257" t="s">
        <v>37</v>
      </c>
      <c r="D257" t="s">
        <v>201</v>
      </c>
      <c r="E257" t="s">
        <v>25</v>
      </c>
      <c r="H257" t="s">
        <v>34</v>
      </c>
      <c r="I257" t="s">
        <v>34</v>
      </c>
      <c r="N257" t="s">
        <v>39</v>
      </c>
    </row>
    <row r="258" spans="2:14">
      <c r="B258" t="s">
        <v>527</v>
      </c>
      <c r="C258" t="s">
        <v>37</v>
      </c>
      <c r="D258" t="s">
        <v>201</v>
      </c>
      <c r="E258" t="s">
        <v>25</v>
      </c>
      <c r="H258" t="s">
        <v>34</v>
      </c>
      <c r="I258" t="s">
        <v>34</v>
      </c>
      <c r="N258" t="s">
        <v>39</v>
      </c>
    </row>
    <row r="259" spans="2:14">
      <c r="B259" t="s">
        <v>528</v>
      </c>
      <c r="C259" t="s">
        <v>37</v>
      </c>
      <c r="D259" t="s">
        <v>201</v>
      </c>
      <c r="E259" t="s">
        <v>25</v>
      </c>
      <c r="H259" t="s">
        <v>34</v>
      </c>
      <c r="I259" t="s">
        <v>34</v>
      </c>
      <c r="N259" t="s">
        <v>39</v>
      </c>
    </row>
    <row r="260" spans="2:14">
      <c r="B260" t="s">
        <v>529</v>
      </c>
      <c r="C260" t="s">
        <v>37</v>
      </c>
      <c r="D260" t="s">
        <v>201</v>
      </c>
      <c r="E260" t="s">
        <v>25</v>
      </c>
      <c r="H260" t="s">
        <v>34</v>
      </c>
      <c r="I260" t="s">
        <v>34</v>
      </c>
      <c r="N260" t="s">
        <v>39</v>
      </c>
    </row>
    <row r="261" spans="2:14">
      <c r="B261" t="s">
        <v>530</v>
      </c>
      <c r="C261" t="s">
        <v>37</v>
      </c>
      <c r="D261" t="s">
        <v>201</v>
      </c>
      <c r="E261" t="s">
        <v>25</v>
      </c>
      <c r="H261" t="s">
        <v>34</v>
      </c>
      <c r="I261" t="s">
        <v>34</v>
      </c>
      <c r="N261" t="s">
        <v>39</v>
      </c>
    </row>
    <row r="262" spans="2:14">
      <c r="B262" t="s">
        <v>531</v>
      </c>
      <c r="C262" t="s">
        <v>37</v>
      </c>
      <c r="D262" t="s">
        <v>201</v>
      </c>
      <c r="E262" t="s">
        <v>25</v>
      </c>
      <c r="H262" t="s">
        <v>34</v>
      </c>
      <c r="I262" t="s">
        <v>34</v>
      </c>
      <c r="N262" t="s">
        <v>39</v>
      </c>
    </row>
    <row r="263" spans="2:14">
      <c r="B263" t="s">
        <v>532</v>
      </c>
      <c r="C263" t="s">
        <v>37</v>
      </c>
      <c r="D263" t="s">
        <v>201</v>
      </c>
      <c r="E263" t="s">
        <v>25</v>
      </c>
      <c r="H263" t="s">
        <v>34</v>
      </c>
      <c r="I263" t="s">
        <v>34</v>
      </c>
      <c r="N263" t="s">
        <v>39</v>
      </c>
    </row>
    <row r="264" spans="2:14">
      <c r="B264" t="s">
        <v>533</v>
      </c>
      <c r="C264" t="s">
        <v>37</v>
      </c>
      <c r="D264" t="s">
        <v>201</v>
      </c>
      <c r="E264" t="s">
        <v>25</v>
      </c>
      <c r="H264" t="s">
        <v>34</v>
      </c>
      <c r="I264" t="s">
        <v>34</v>
      </c>
      <c r="N264" t="s">
        <v>39</v>
      </c>
    </row>
    <row r="265" spans="2:14">
      <c r="B265" t="s">
        <v>534</v>
      </c>
      <c r="C265" t="s">
        <v>37</v>
      </c>
      <c r="D265" t="s">
        <v>201</v>
      </c>
      <c r="E265" t="s">
        <v>25</v>
      </c>
      <c r="H265" t="s">
        <v>34</v>
      </c>
      <c r="I265" t="s">
        <v>34</v>
      </c>
      <c r="N265" t="s">
        <v>39</v>
      </c>
    </row>
    <row r="266" spans="2:14">
      <c r="B266" t="s">
        <v>535</v>
      </c>
      <c r="C266" t="s">
        <v>37</v>
      </c>
      <c r="D266" t="s">
        <v>201</v>
      </c>
      <c r="E266" t="s">
        <v>25</v>
      </c>
      <c r="H266" t="s">
        <v>34</v>
      </c>
      <c r="I266" t="s">
        <v>34</v>
      </c>
      <c r="N266" t="s">
        <v>39</v>
      </c>
    </row>
    <row r="267" spans="2:14">
      <c r="B267" t="s">
        <v>536</v>
      </c>
      <c r="C267" t="s">
        <v>37</v>
      </c>
      <c r="D267" t="s">
        <v>201</v>
      </c>
      <c r="E267" t="s">
        <v>25</v>
      </c>
      <c r="H267" t="s">
        <v>34</v>
      </c>
      <c r="I267" t="s">
        <v>34</v>
      </c>
      <c r="N267" t="s">
        <v>39</v>
      </c>
    </row>
    <row r="268" spans="2:14">
      <c r="B268" t="s">
        <v>537</v>
      </c>
      <c r="C268" t="s">
        <v>37</v>
      </c>
      <c r="D268" t="s">
        <v>201</v>
      </c>
      <c r="E268" t="s">
        <v>25</v>
      </c>
      <c r="H268" t="s">
        <v>34</v>
      </c>
      <c r="I268" t="s">
        <v>34</v>
      </c>
      <c r="N268" t="s">
        <v>39</v>
      </c>
    </row>
    <row r="269" spans="2:14">
      <c r="B269" t="s">
        <v>538</v>
      </c>
      <c r="C269" t="s">
        <v>37</v>
      </c>
      <c r="D269" t="s">
        <v>201</v>
      </c>
      <c r="E269" t="s">
        <v>25</v>
      </c>
      <c r="H269" t="s">
        <v>34</v>
      </c>
      <c r="I269" t="s">
        <v>34</v>
      </c>
      <c r="N269" t="s">
        <v>39</v>
      </c>
    </row>
    <row r="270" spans="2:14">
      <c r="B270" t="s">
        <v>539</v>
      </c>
      <c r="C270" t="s">
        <v>37</v>
      </c>
      <c r="D270" t="s">
        <v>201</v>
      </c>
      <c r="E270" t="s">
        <v>25</v>
      </c>
      <c r="H270" t="s">
        <v>34</v>
      </c>
      <c r="I270" t="s">
        <v>34</v>
      </c>
      <c r="N270" t="s">
        <v>39</v>
      </c>
    </row>
    <row r="271" spans="2:14">
      <c r="B271" t="s">
        <v>540</v>
      </c>
      <c r="C271" t="s">
        <v>37</v>
      </c>
      <c r="D271" t="s">
        <v>201</v>
      </c>
      <c r="E271" t="s">
        <v>25</v>
      </c>
      <c r="H271" t="s">
        <v>34</v>
      </c>
      <c r="I271" t="s">
        <v>34</v>
      </c>
      <c r="N271" t="s">
        <v>39</v>
      </c>
    </row>
    <row r="272" spans="2:14">
      <c r="B272" t="s">
        <v>541</v>
      </c>
      <c r="C272" t="s">
        <v>37</v>
      </c>
      <c r="D272" t="s">
        <v>201</v>
      </c>
      <c r="E272" t="s">
        <v>25</v>
      </c>
      <c r="H272" t="s">
        <v>34</v>
      </c>
      <c r="I272" t="s">
        <v>34</v>
      </c>
      <c r="N272" t="s">
        <v>39</v>
      </c>
    </row>
    <row r="273" spans="1:22">
      <c r="B273" t="s">
        <v>542</v>
      </c>
      <c r="C273" t="s">
        <v>37</v>
      </c>
      <c r="D273" t="s">
        <v>201</v>
      </c>
      <c r="E273" t="s">
        <v>25</v>
      </c>
      <c r="H273" t="s">
        <v>34</v>
      </c>
      <c r="I273" t="s">
        <v>34</v>
      </c>
      <c r="N273" t="s">
        <v>39</v>
      </c>
    </row>
    <row r="274" spans="1:22">
      <c r="B274" t="s">
        <v>543</v>
      </c>
      <c r="C274" t="s">
        <v>37</v>
      </c>
      <c r="D274" t="s">
        <v>201</v>
      </c>
      <c r="E274" t="s">
        <v>25</v>
      </c>
      <c r="H274" t="s">
        <v>34</v>
      </c>
      <c r="I274" t="s">
        <v>34</v>
      </c>
      <c r="N274" t="s">
        <v>39</v>
      </c>
    </row>
    <row r="275" spans="1:22">
      <c r="B275" t="s">
        <v>544</v>
      </c>
      <c r="C275" t="s">
        <v>37</v>
      </c>
      <c r="D275" t="s">
        <v>201</v>
      </c>
      <c r="E275" t="s">
        <v>25</v>
      </c>
      <c r="H275" t="s">
        <v>34</v>
      </c>
      <c r="I275" t="s">
        <v>34</v>
      </c>
      <c r="N275" t="s">
        <v>39</v>
      </c>
    </row>
    <row r="276" spans="1:22">
      <c r="B276" t="s">
        <v>545</v>
      </c>
      <c r="C276" t="s">
        <v>37</v>
      </c>
      <c r="D276" t="s">
        <v>201</v>
      </c>
      <c r="E276" t="s">
        <v>25</v>
      </c>
      <c r="H276" t="s">
        <v>34</v>
      </c>
      <c r="I276" t="s">
        <v>34</v>
      </c>
      <c r="N276" t="s">
        <v>39</v>
      </c>
    </row>
    <row r="277" spans="1:22">
      <c r="B277" t="s">
        <v>546</v>
      </c>
      <c r="C277" t="s">
        <v>37</v>
      </c>
      <c r="D277" t="s">
        <v>201</v>
      </c>
      <c r="E277" t="s">
        <v>25</v>
      </c>
      <c r="H277" t="s">
        <v>34</v>
      </c>
      <c r="I277" t="s">
        <v>34</v>
      </c>
      <c r="N277" t="s">
        <v>39</v>
      </c>
    </row>
    <row r="278" spans="1:22">
      <c r="B278" t="s">
        <v>547</v>
      </c>
      <c r="C278" t="s">
        <v>37</v>
      </c>
      <c r="D278" t="s">
        <v>201</v>
      </c>
      <c r="E278" t="s">
        <v>25</v>
      </c>
      <c r="H278" t="s">
        <v>34</v>
      </c>
      <c r="I278" t="s">
        <v>34</v>
      </c>
      <c r="N278" t="s">
        <v>39</v>
      </c>
    </row>
    <row r="279" spans="1:22">
      <c r="B279" t="s">
        <v>548</v>
      </c>
      <c r="C279" t="s">
        <v>37</v>
      </c>
      <c r="D279" t="s">
        <v>201</v>
      </c>
      <c r="E279" t="s">
        <v>25</v>
      </c>
      <c r="H279" t="s">
        <v>34</v>
      </c>
      <c r="I279" t="s">
        <v>34</v>
      </c>
      <c r="N279" t="s">
        <v>39</v>
      </c>
    </row>
    <row r="280" spans="1:22">
      <c r="B280" t="s">
        <v>549</v>
      </c>
      <c r="C280" t="s">
        <v>37</v>
      </c>
      <c r="D280" t="s">
        <v>201</v>
      </c>
      <c r="E280" t="s">
        <v>25</v>
      </c>
      <c r="H280" t="s">
        <v>34</v>
      </c>
      <c r="I280" t="s">
        <v>34</v>
      </c>
      <c r="N280" t="s">
        <v>39</v>
      </c>
    </row>
    <row r="281" spans="1:22">
      <c r="B281" t="s">
        <v>550</v>
      </c>
      <c r="C281" t="s">
        <v>37</v>
      </c>
      <c r="D281" t="s">
        <v>201</v>
      </c>
      <c r="E281" t="s">
        <v>25</v>
      </c>
      <c r="H281" t="s">
        <v>34</v>
      </c>
      <c r="I281" t="s">
        <v>34</v>
      </c>
      <c r="N281" t="s">
        <v>39</v>
      </c>
    </row>
    <row r="282" spans="1:22">
      <c r="B282" t="s">
        <v>551</v>
      </c>
      <c r="C282" t="s">
        <v>37</v>
      </c>
      <c r="D282" t="s">
        <v>201</v>
      </c>
      <c r="E282" t="s">
        <v>25</v>
      </c>
      <c r="H282" t="s">
        <v>34</v>
      </c>
      <c r="I282" t="s">
        <v>34</v>
      </c>
      <c r="N282" t="s">
        <v>39</v>
      </c>
    </row>
    <row r="283" spans="1:22">
      <c r="B283" t="s">
        <v>552</v>
      </c>
      <c r="C283" t="s">
        <v>37</v>
      </c>
      <c r="D283" t="s">
        <v>201</v>
      </c>
      <c r="E283" t="s">
        <v>25</v>
      </c>
      <c r="H283" t="s">
        <v>34</v>
      </c>
      <c r="I283" t="s">
        <v>34</v>
      </c>
      <c r="N283" t="s">
        <v>39</v>
      </c>
    </row>
    <row r="284" spans="1:22">
      <c r="B284" t="s">
        <v>553</v>
      </c>
      <c r="C284" t="s">
        <v>37</v>
      </c>
      <c r="D284" t="s">
        <v>201</v>
      </c>
      <c r="E284" t="s">
        <v>25</v>
      </c>
      <c r="H284" t="s">
        <v>34</v>
      </c>
      <c r="I284" t="s">
        <v>34</v>
      </c>
      <c r="N284" t="s">
        <v>41</v>
      </c>
    </row>
    <row r="285" spans="1:22">
      <c r="B285" t="s">
        <v>554</v>
      </c>
      <c r="C285" t="s">
        <v>37</v>
      </c>
      <c r="D285" t="s">
        <v>555</v>
      </c>
      <c r="E285" t="s">
        <v>91</v>
      </c>
      <c r="H285" t="s">
        <v>34</v>
      </c>
      <c r="I285" t="s">
        <v>34</v>
      </c>
      <c r="N285" t="s">
        <v>30</v>
      </c>
    </row>
    <row r="286" spans="1:22" s="4" customFormat="1" ht="16.5">
      <c r="A286" s="4" t="str">
        <f t="shared" ref="A286:A297" si="5">"GL-"&amp;TEXT(ROW()-1,"0000")</f>
        <v>GL-0285</v>
      </c>
      <c r="B286" s="4" t="s">
        <v>556</v>
      </c>
      <c r="C286" s="4" t="s">
        <v>23</v>
      </c>
      <c r="D286" s="4" t="s">
        <v>555</v>
      </c>
      <c r="E286" s="4" t="s">
        <v>91</v>
      </c>
      <c r="F286" s="4" t="s">
        <v>277</v>
      </c>
      <c r="G286" s="4" t="s">
        <v>557</v>
      </c>
      <c r="H286" s="4" t="s">
        <v>34</v>
      </c>
      <c r="I286" s="4" t="s">
        <v>28</v>
      </c>
      <c r="J286" s="4" t="s">
        <v>28</v>
      </c>
      <c r="K286" s="4" t="s">
        <v>29</v>
      </c>
      <c r="L286" s="4" t="s">
        <v>28</v>
      </c>
      <c r="N286" s="4" t="s">
        <v>39</v>
      </c>
      <c r="P286" s="4" t="s">
        <v>31</v>
      </c>
      <c r="Q286" s="4" t="s">
        <v>557</v>
      </c>
      <c r="R286" s="3" t="s">
        <v>558</v>
      </c>
      <c r="S286" s="5"/>
      <c r="T286" s="4" t="s">
        <v>28</v>
      </c>
      <c r="U286" s="4">
        <v>3</v>
      </c>
      <c r="V286" s="17" t="s">
        <v>559</v>
      </c>
    </row>
    <row r="287" spans="1:22" ht="16.5">
      <c r="A287" s="4" t="str">
        <f t="shared" si="5"/>
        <v>GL-0286</v>
      </c>
      <c r="B287" s="4" t="s">
        <v>560</v>
      </c>
      <c r="C287" s="4" t="s">
        <v>23</v>
      </c>
      <c r="D287" s="4" t="s">
        <v>38</v>
      </c>
      <c r="E287" s="4" t="s">
        <v>25</v>
      </c>
      <c r="F287" s="4" t="s">
        <v>38</v>
      </c>
      <c r="G287" s="4" t="s">
        <v>161</v>
      </c>
      <c r="H287" s="4" t="s">
        <v>28</v>
      </c>
      <c r="I287" s="4" t="s">
        <v>28</v>
      </c>
      <c r="J287" s="4" t="s">
        <v>28</v>
      </c>
      <c r="K287" s="4" t="s">
        <v>561</v>
      </c>
      <c r="L287" s="4" t="s">
        <v>28</v>
      </c>
      <c r="M287" s="4"/>
      <c r="N287" s="4" t="s">
        <v>41</v>
      </c>
      <c r="O287" s="4"/>
      <c r="P287" s="4" t="s">
        <v>201</v>
      </c>
      <c r="Q287" s="4" t="s">
        <v>562</v>
      </c>
      <c r="R287" s="3" t="s">
        <v>563</v>
      </c>
      <c r="S287" s="4"/>
      <c r="T287" s="4" t="s">
        <v>34</v>
      </c>
      <c r="U287" s="4"/>
      <c r="V287" s="17" t="s">
        <v>564</v>
      </c>
    </row>
    <row r="288" spans="1:22" s="4" customFormat="1" ht="16.5">
      <c r="A288" s="4" t="str">
        <f t="shared" si="5"/>
        <v>GL-0287</v>
      </c>
      <c r="B288" s="4" t="s">
        <v>565</v>
      </c>
      <c r="C288" s="4" t="s">
        <v>23</v>
      </c>
      <c r="D288" s="4" t="s">
        <v>555</v>
      </c>
      <c r="E288" s="4" t="s">
        <v>25</v>
      </c>
      <c r="F288" s="4" t="s">
        <v>38</v>
      </c>
      <c r="G288" s="4" t="s">
        <v>557</v>
      </c>
      <c r="H288" s="4" t="s">
        <v>34</v>
      </c>
      <c r="I288" s="4" t="s">
        <v>28</v>
      </c>
      <c r="J288" s="4" t="s">
        <v>28</v>
      </c>
      <c r="K288" s="4" t="s">
        <v>29</v>
      </c>
      <c r="L288" s="4" t="s">
        <v>34</v>
      </c>
      <c r="N288" s="4" t="s">
        <v>30</v>
      </c>
      <c r="P288" s="4" t="s">
        <v>31</v>
      </c>
      <c r="Q288" s="4" t="s">
        <v>557</v>
      </c>
      <c r="R288" s="5" t="s">
        <v>566</v>
      </c>
      <c r="S288" s="5"/>
      <c r="T288" s="4" t="s">
        <v>28</v>
      </c>
      <c r="U288" s="4">
        <v>3</v>
      </c>
      <c r="V288" s="17" t="s">
        <v>567</v>
      </c>
    </row>
    <row r="289" spans="1:22" s="4" customFormat="1" ht="16.5">
      <c r="A289" s="4" t="str">
        <f t="shared" si="5"/>
        <v>GL-0288</v>
      </c>
      <c r="B289" s="4" t="s">
        <v>568</v>
      </c>
      <c r="C289" s="4" t="s">
        <v>23</v>
      </c>
      <c r="D289" s="4" t="s">
        <v>555</v>
      </c>
      <c r="E289" s="4" t="s">
        <v>25</v>
      </c>
      <c r="F289" s="4" t="s">
        <v>67</v>
      </c>
      <c r="G289" s="4" t="s">
        <v>557</v>
      </c>
      <c r="H289" s="4" t="s">
        <v>34</v>
      </c>
      <c r="I289" s="4" t="s">
        <v>28</v>
      </c>
      <c r="J289" s="4" t="s">
        <v>28</v>
      </c>
      <c r="K289" s="4" t="s">
        <v>29</v>
      </c>
      <c r="L289" s="4" t="s">
        <v>34</v>
      </c>
      <c r="M289" s="4" t="s">
        <v>569</v>
      </c>
      <c r="N289" s="4" t="s">
        <v>30</v>
      </c>
      <c r="P289" s="4" t="s">
        <v>31</v>
      </c>
      <c r="Q289" s="4" t="s">
        <v>557</v>
      </c>
      <c r="R289" s="5" t="s">
        <v>570</v>
      </c>
      <c r="S289" s="5"/>
      <c r="T289" s="4" t="s">
        <v>28</v>
      </c>
      <c r="U289" s="4">
        <v>3</v>
      </c>
      <c r="V289" s="17" t="s">
        <v>571</v>
      </c>
    </row>
    <row r="290" spans="1:22" s="4" customFormat="1" ht="16.5">
      <c r="A290" s="4" t="str">
        <f t="shared" si="5"/>
        <v>GL-0289</v>
      </c>
      <c r="B290" s="4" t="s">
        <v>572</v>
      </c>
      <c r="C290" s="4" t="s">
        <v>23</v>
      </c>
      <c r="D290" s="4" t="s">
        <v>555</v>
      </c>
      <c r="E290" s="4" t="s">
        <v>25</v>
      </c>
      <c r="F290" s="4" t="s">
        <v>114</v>
      </c>
      <c r="G290" s="4" t="s">
        <v>557</v>
      </c>
      <c r="H290" s="4" t="s">
        <v>34</v>
      </c>
      <c r="I290" s="4" t="s">
        <v>28</v>
      </c>
      <c r="J290" s="4" t="s">
        <v>28</v>
      </c>
      <c r="K290" s="4" t="s">
        <v>29</v>
      </c>
      <c r="L290" s="4" t="s">
        <v>28</v>
      </c>
      <c r="M290" s="4" t="s">
        <v>573</v>
      </c>
      <c r="N290" s="4" t="s">
        <v>30</v>
      </c>
      <c r="P290" s="4" t="s">
        <v>31</v>
      </c>
      <c r="Q290" s="4" t="s">
        <v>557</v>
      </c>
      <c r="R290" s="5" t="s">
        <v>574</v>
      </c>
      <c r="S290" s="5"/>
      <c r="T290" s="4" t="s">
        <v>28</v>
      </c>
      <c r="U290" s="4">
        <v>3</v>
      </c>
      <c r="V290" s="17" t="s">
        <v>575</v>
      </c>
    </row>
    <row r="291" spans="1:22" s="4" customFormat="1" ht="16.5">
      <c r="A291" s="4" t="str">
        <f t="shared" si="5"/>
        <v>GL-0290</v>
      </c>
      <c r="B291" s="4" t="s">
        <v>576</v>
      </c>
      <c r="C291" s="4" t="s">
        <v>23</v>
      </c>
      <c r="D291" s="4" t="s">
        <v>555</v>
      </c>
      <c r="E291" s="4" t="s">
        <v>25</v>
      </c>
      <c r="F291" s="4" t="s">
        <v>114</v>
      </c>
      <c r="G291" s="4" t="s">
        <v>557</v>
      </c>
      <c r="H291" s="4" t="s">
        <v>34</v>
      </c>
      <c r="I291" s="4" t="s">
        <v>28</v>
      </c>
      <c r="J291" s="4" t="s">
        <v>28</v>
      </c>
      <c r="K291" s="4" t="s">
        <v>29</v>
      </c>
      <c r="L291" s="4" t="s">
        <v>34</v>
      </c>
      <c r="M291" s="4" t="s">
        <v>577</v>
      </c>
      <c r="N291" s="4" t="s">
        <v>30</v>
      </c>
      <c r="P291" s="4" t="s">
        <v>31</v>
      </c>
      <c r="Q291" s="4" t="s">
        <v>557</v>
      </c>
      <c r="R291" s="5" t="s">
        <v>578</v>
      </c>
      <c r="S291" s="5"/>
      <c r="T291" s="4" t="s">
        <v>28</v>
      </c>
      <c r="U291" s="4">
        <v>3</v>
      </c>
      <c r="V291" s="17" t="s">
        <v>579</v>
      </c>
    </row>
    <row r="292" spans="1:22" s="4" customFormat="1" ht="16.5">
      <c r="A292" s="4" t="str">
        <f t="shared" si="5"/>
        <v>GL-0291</v>
      </c>
      <c r="B292" s="4" t="s">
        <v>580</v>
      </c>
      <c r="C292" s="4" t="s">
        <v>23</v>
      </c>
      <c r="D292" s="4" t="s">
        <v>555</v>
      </c>
      <c r="E292" s="4" t="s">
        <v>25</v>
      </c>
      <c r="F292" s="4" t="s">
        <v>38</v>
      </c>
      <c r="G292" s="4" t="s">
        <v>557</v>
      </c>
      <c r="H292" s="4" t="s">
        <v>34</v>
      </c>
      <c r="I292" s="4" t="s">
        <v>28</v>
      </c>
      <c r="J292" s="4" t="s">
        <v>28</v>
      </c>
      <c r="K292" s="4" t="s">
        <v>29</v>
      </c>
      <c r="L292" s="4" t="s">
        <v>28</v>
      </c>
      <c r="M292" s="4" t="s">
        <v>581</v>
      </c>
      <c r="N292" s="4" t="s">
        <v>30</v>
      </c>
      <c r="P292" s="4" t="s">
        <v>31</v>
      </c>
      <c r="Q292" s="4" t="s">
        <v>557</v>
      </c>
      <c r="R292" s="5" t="s">
        <v>582</v>
      </c>
      <c r="S292" s="5"/>
      <c r="T292" s="4" t="s">
        <v>28</v>
      </c>
      <c r="U292" s="4">
        <v>3</v>
      </c>
      <c r="V292" s="17" t="s">
        <v>583</v>
      </c>
    </row>
    <row r="293" spans="1:22" s="4" customFormat="1" ht="16.5">
      <c r="A293" s="4" t="str">
        <f t="shared" si="5"/>
        <v>GL-0292</v>
      </c>
      <c r="B293" s="4" t="s">
        <v>584</v>
      </c>
      <c r="C293" s="4" t="s">
        <v>23</v>
      </c>
      <c r="D293" s="4" t="s">
        <v>555</v>
      </c>
      <c r="E293" s="4" t="s">
        <v>25</v>
      </c>
      <c r="F293" s="4" t="s">
        <v>277</v>
      </c>
      <c r="G293" s="4" t="s">
        <v>557</v>
      </c>
      <c r="H293" s="4" t="s">
        <v>34</v>
      </c>
      <c r="I293" s="4" t="s">
        <v>28</v>
      </c>
      <c r="J293" s="4" t="s">
        <v>28</v>
      </c>
      <c r="K293" s="4" t="s">
        <v>29</v>
      </c>
      <c r="L293" s="4" t="s">
        <v>34</v>
      </c>
      <c r="M293" s="4" t="s">
        <v>585</v>
      </c>
      <c r="N293" s="4" t="s">
        <v>30</v>
      </c>
      <c r="P293" s="4" t="s">
        <v>31</v>
      </c>
      <c r="Q293" s="4" t="s">
        <v>557</v>
      </c>
      <c r="R293" s="5" t="s">
        <v>586</v>
      </c>
      <c r="S293" s="5"/>
      <c r="T293" s="4" t="s">
        <v>28</v>
      </c>
      <c r="U293" s="4">
        <v>3</v>
      </c>
      <c r="V293" s="17" t="s">
        <v>587</v>
      </c>
    </row>
    <row r="294" spans="1:22" s="4" customFormat="1" ht="16.5">
      <c r="A294" s="4" t="str">
        <f t="shared" si="5"/>
        <v>GL-0293</v>
      </c>
      <c r="B294" s="4" t="s">
        <v>588</v>
      </c>
      <c r="C294" s="4" t="s">
        <v>23</v>
      </c>
      <c r="D294" s="4" t="s">
        <v>555</v>
      </c>
      <c r="E294" s="4" t="s">
        <v>25</v>
      </c>
      <c r="F294" s="4" t="s">
        <v>38</v>
      </c>
      <c r="G294" s="4" t="s">
        <v>557</v>
      </c>
      <c r="H294" s="4" t="s">
        <v>34</v>
      </c>
      <c r="I294" s="4" t="s">
        <v>28</v>
      </c>
      <c r="J294" s="4" t="s">
        <v>28</v>
      </c>
      <c r="K294" s="4" t="s">
        <v>29</v>
      </c>
      <c r="L294" s="4" t="s">
        <v>28</v>
      </c>
      <c r="M294" s="4" t="s">
        <v>589</v>
      </c>
      <c r="N294" s="4" t="s">
        <v>30</v>
      </c>
      <c r="P294" s="4" t="s">
        <v>31</v>
      </c>
      <c r="Q294" s="4" t="s">
        <v>557</v>
      </c>
      <c r="R294" s="5" t="s">
        <v>590</v>
      </c>
      <c r="S294" s="5"/>
      <c r="T294" s="4" t="s">
        <v>28</v>
      </c>
      <c r="U294" s="4">
        <v>3</v>
      </c>
      <c r="V294" s="17" t="s">
        <v>591</v>
      </c>
    </row>
    <row r="295" spans="1:22" s="4" customFormat="1" ht="16.5">
      <c r="A295" s="4" t="str">
        <f t="shared" si="5"/>
        <v>GL-0294</v>
      </c>
      <c r="B295" s="4" t="s">
        <v>592</v>
      </c>
      <c r="C295" s="4" t="s">
        <v>23</v>
      </c>
      <c r="D295" s="4" t="s">
        <v>555</v>
      </c>
      <c r="E295" s="4" t="s">
        <v>25</v>
      </c>
      <c r="F295" s="4" t="s">
        <v>114</v>
      </c>
      <c r="G295" s="4" t="s">
        <v>557</v>
      </c>
      <c r="H295" s="4" t="s">
        <v>34</v>
      </c>
      <c r="I295" s="4" t="s">
        <v>28</v>
      </c>
      <c r="J295" s="4" t="s">
        <v>28</v>
      </c>
      <c r="K295" s="4" t="s">
        <v>29</v>
      </c>
      <c r="L295" s="4" t="s">
        <v>28</v>
      </c>
      <c r="M295" s="4" t="s">
        <v>593</v>
      </c>
      <c r="N295" s="4" t="s">
        <v>30</v>
      </c>
      <c r="P295" s="4" t="s">
        <v>31</v>
      </c>
      <c r="Q295" s="4" t="s">
        <v>557</v>
      </c>
      <c r="R295" s="5" t="s">
        <v>594</v>
      </c>
      <c r="S295" s="5"/>
      <c r="T295" s="4" t="s">
        <v>28</v>
      </c>
      <c r="U295" s="4">
        <v>3</v>
      </c>
      <c r="V295" s="17" t="s">
        <v>595</v>
      </c>
    </row>
    <row r="296" spans="1:22" s="4" customFormat="1" ht="16.5">
      <c r="A296" s="4" t="str">
        <f t="shared" si="5"/>
        <v>GL-0295</v>
      </c>
      <c r="B296" s="4" t="s">
        <v>596</v>
      </c>
      <c r="C296" s="4" t="s">
        <v>23</v>
      </c>
      <c r="D296" s="4" t="s">
        <v>555</v>
      </c>
      <c r="E296" s="4" t="s">
        <v>25</v>
      </c>
      <c r="F296" s="4" t="s">
        <v>277</v>
      </c>
      <c r="G296" s="4" t="s">
        <v>557</v>
      </c>
      <c r="H296" s="4" t="s">
        <v>34</v>
      </c>
      <c r="I296" s="4" t="s">
        <v>28</v>
      </c>
      <c r="J296" s="4" t="s">
        <v>28</v>
      </c>
      <c r="K296" s="4" t="s">
        <v>29</v>
      </c>
      <c r="L296" s="4" t="s">
        <v>28</v>
      </c>
      <c r="M296" s="4" t="s">
        <v>597</v>
      </c>
      <c r="N296" s="4" t="s">
        <v>30</v>
      </c>
      <c r="P296" s="4" t="s">
        <v>31</v>
      </c>
      <c r="Q296" s="4" t="s">
        <v>557</v>
      </c>
      <c r="R296" s="5" t="s">
        <v>598</v>
      </c>
      <c r="S296" s="5"/>
      <c r="T296" s="4" t="s">
        <v>28</v>
      </c>
      <c r="U296" s="4">
        <v>3</v>
      </c>
      <c r="V296" s="17" t="s">
        <v>599</v>
      </c>
    </row>
    <row r="297" spans="1:22" s="4" customFormat="1" ht="16.5">
      <c r="A297" s="4" t="str">
        <f t="shared" si="5"/>
        <v>GL-0296</v>
      </c>
      <c r="B297" s="4" t="s">
        <v>600</v>
      </c>
      <c r="C297" s="4" t="s">
        <v>23</v>
      </c>
      <c r="D297" s="4" t="s">
        <v>555</v>
      </c>
      <c r="E297" s="4" t="s">
        <v>25</v>
      </c>
      <c r="F297" s="4" t="s">
        <v>277</v>
      </c>
      <c r="G297" s="4" t="s">
        <v>557</v>
      </c>
      <c r="H297" s="4" t="s">
        <v>34</v>
      </c>
      <c r="I297" s="4" t="s">
        <v>28</v>
      </c>
      <c r="J297" s="4" t="s">
        <v>28</v>
      </c>
      <c r="K297" s="4" t="s">
        <v>29</v>
      </c>
      <c r="L297" s="4" t="s">
        <v>28</v>
      </c>
      <c r="M297" s="4" t="s">
        <v>601</v>
      </c>
      <c r="N297" s="4" t="s">
        <v>30</v>
      </c>
      <c r="P297" s="4" t="s">
        <v>31</v>
      </c>
      <c r="Q297" s="4" t="s">
        <v>557</v>
      </c>
      <c r="R297" s="5" t="s">
        <v>602</v>
      </c>
      <c r="S297" s="5"/>
      <c r="T297" s="4" t="s">
        <v>28</v>
      </c>
      <c r="U297" s="4">
        <v>3</v>
      </c>
      <c r="V297" s="17" t="s">
        <v>603</v>
      </c>
    </row>
    <row r="298" spans="1:22">
      <c r="B298" t="s">
        <v>604</v>
      </c>
      <c r="C298" t="s">
        <v>37</v>
      </c>
      <c r="D298" t="s">
        <v>555</v>
      </c>
      <c r="E298" t="s">
        <v>25</v>
      </c>
      <c r="G298" t="s">
        <v>557</v>
      </c>
      <c r="H298" t="s">
        <v>34</v>
      </c>
      <c r="I298" t="s">
        <v>34</v>
      </c>
      <c r="K298" s="4" t="s">
        <v>29</v>
      </c>
      <c r="L298" t="s">
        <v>28</v>
      </c>
      <c r="N298" t="s">
        <v>39</v>
      </c>
    </row>
    <row r="299" spans="1:22" s="4" customFormat="1" ht="16.5">
      <c r="A299" s="4" t="str">
        <f>"GL-"&amp;TEXT(ROW()-1,"0000")</f>
        <v>GL-0298</v>
      </c>
      <c r="B299" s="4" t="s">
        <v>605</v>
      </c>
      <c r="C299" s="4" t="s">
        <v>23</v>
      </c>
      <c r="D299" s="4" t="s">
        <v>555</v>
      </c>
      <c r="E299" s="4" t="s">
        <v>60</v>
      </c>
      <c r="F299" s="4" t="s">
        <v>277</v>
      </c>
      <c r="G299" s="4" t="s">
        <v>557</v>
      </c>
      <c r="H299" s="4" t="s">
        <v>34</v>
      </c>
      <c r="I299" s="4" t="s">
        <v>28</v>
      </c>
      <c r="J299" s="4" t="s">
        <v>28</v>
      </c>
      <c r="K299" s="4" t="s">
        <v>29</v>
      </c>
      <c r="L299" s="4" t="s">
        <v>28</v>
      </c>
      <c r="N299" s="4" t="s">
        <v>30</v>
      </c>
      <c r="P299" s="4" t="s">
        <v>31</v>
      </c>
      <c r="Q299" s="4" t="s">
        <v>557</v>
      </c>
      <c r="R299" s="3" t="s">
        <v>606</v>
      </c>
      <c r="T299" s="4" t="s">
        <v>34</v>
      </c>
      <c r="U299" s="4">
        <v>3</v>
      </c>
      <c r="V299" s="17" t="s">
        <v>607</v>
      </c>
    </row>
    <row r="300" spans="1:22">
      <c r="B300" t="s">
        <v>608</v>
      </c>
      <c r="C300" t="s">
        <v>37</v>
      </c>
      <c r="D300" t="s">
        <v>555</v>
      </c>
      <c r="E300" t="s">
        <v>25</v>
      </c>
      <c r="G300" t="s">
        <v>557</v>
      </c>
      <c r="H300" t="s">
        <v>34</v>
      </c>
      <c r="I300" t="s">
        <v>34</v>
      </c>
      <c r="N300" t="s">
        <v>39</v>
      </c>
      <c r="R300" s="3" t="s">
        <v>609</v>
      </c>
      <c r="S300" s="3"/>
      <c r="T300" t="s">
        <v>28</v>
      </c>
    </row>
    <row r="301" spans="1:22">
      <c r="B301" t="s">
        <v>610</v>
      </c>
      <c r="C301" t="s">
        <v>37</v>
      </c>
      <c r="D301" t="s">
        <v>555</v>
      </c>
      <c r="E301" t="s">
        <v>25</v>
      </c>
      <c r="G301" t="s">
        <v>557</v>
      </c>
      <c r="H301" t="s">
        <v>34</v>
      </c>
      <c r="I301" t="s">
        <v>34</v>
      </c>
      <c r="N301" t="s">
        <v>39</v>
      </c>
      <c r="R301" s="3" t="s">
        <v>611</v>
      </c>
      <c r="S301" s="3"/>
      <c r="T301" t="s">
        <v>28</v>
      </c>
    </row>
    <row r="302" spans="1:22">
      <c r="B302" t="s">
        <v>612</v>
      </c>
      <c r="C302" t="s">
        <v>37</v>
      </c>
      <c r="D302" t="s">
        <v>555</v>
      </c>
      <c r="E302" t="s">
        <v>25</v>
      </c>
      <c r="G302" t="s">
        <v>557</v>
      </c>
      <c r="H302" t="s">
        <v>34</v>
      </c>
      <c r="I302" t="s">
        <v>34</v>
      </c>
      <c r="N302" t="s">
        <v>39</v>
      </c>
      <c r="R302" s="3" t="s">
        <v>613</v>
      </c>
      <c r="S302" s="3"/>
      <c r="T302" t="s">
        <v>28</v>
      </c>
    </row>
    <row r="303" spans="1:22">
      <c r="B303" t="s">
        <v>614</v>
      </c>
      <c r="C303" t="s">
        <v>37</v>
      </c>
      <c r="D303" t="s">
        <v>555</v>
      </c>
      <c r="E303" t="s">
        <v>25</v>
      </c>
      <c r="G303" t="s">
        <v>557</v>
      </c>
      <c r="H303" t="s">
        <v>34</v>
      </c>
      <c r="I303" t="s">
        <v>34</v>
      </c>
      <c r="N303" t="s">
        <v>39</v>
      </c>
      <c r="R303" s="3" t="s">
        <v>615</v>
      </c>
      <c r="S303" s="3"/>
      <c r="T303" t="s">
        <v>34</v>
      </c>
    </row>
    <row r="304" spans="1:22">
      <c r="B304" t="s">
        <v>616</v>
      </c>
      <c r="C304" t="s">
        <v>37</v>
      </c>
      <c r="D304" t="s">
        <v>555</v>
      </c>
      <c r="E304" t="s">
        <v>25</v>
      </c>
      <c r="G304" t="s">
        <v>557</v>
      </c>
      <c r="H304" t="s">
        <v>34</v>
      </c>
      <c r="I304" t="s">
        <v>34</v>
      </c>
      <c r="N304" t="s">
        <v>39</v>
      </c>
      <c r="R304" s="3" t="s">
        <v>617</v>
      </c>
      <c r="S304" s="3"/>
      <c r="T304" t="s">
        <v>34</v>
      </c>
    </row>
    <row r="305" spans="1:22">
      <c r="B305" t="s">
        <v>618</v>
      </c>
      <c r="C305" t="s">
        <v>23</v>
      </c>
      <c r="D305" t="s">
        <v>555</v>
      </c>
      <c r="E305" t="s">
        <v>25</v>
      </c>
      <c r="G305" t="s">
        <v>557</v>
      </c>
      <c r="H305" t="s">
        <v>34</v>
      </c>
      <c r="I305" t="s">
        <v>34</v>
      </c>
      <c r="N305" t="s">
        <v>39</v>
      </c>
    </row>
    <row r="306" spans="1:22">
      <c r="B306" t="s">
        <v>619</v>
      </c>
      <c r="C306" t="s">
        <v>37</v>
      </c>
      <c r="D306" t="s">
        <v>555</v>
      </c>
      <c r="E306" t="s">
        <v>25</v>
      </c>
      <c r="G306" t="s">
        <v>557</v>
      </c>
      <c r="H306" t="s">
        <v>34</v>
      </c>
      <c r="I306" t="s">
        <v>34</v>
      </c>
      <c r="N306" t="s">
        <v>94</v>
      </c>
    </row>
    <row r="307" spans="1:22" s="4" customFormat="1" ht="16.5">
      <c r="A307" s="4" t="str">
        <f>"GL-"&amp;TEXT(ROW()-1,"0000")</f>
        <v>GL-0306</v>
      </c>
      <c r="B307" s="4" t="s">
        <v>620</v>
      </c>
      <c r="C307" s="4" t="s">
        <v>23</v>
      </c>
      <c r="D307" s="4" t="s">
        <v>555</v>
      </c>
      <c r="E307" s="4" t="s">
        <v>25</v>
      </c>
      <c r="F307" s="4" t="s">
        <v>277</v>
      </c>
      <c r="G307" s="4" t="s">
        <v>557</v>
      </c>
      <c r="H307" s="4" t="s">
        <v>34</v>
      </c>
      <c r="I307" s="4" t="s">
        <v>28</v>
      </c>
      <c r="J307" s="4" t="s">
        <v>28</v>
      </c>
      <c r="K307" s="4" t="s">
        <v>29</v>
      </c>
      <c r="L307" s="4" t="s">
        <v>28</v>
      </c>
      <c r="M307" s="4" t="s">
        <v>621</v>
      </c>
      <c r="N307" s="4" t="s">
        <v>39</v>
      </c>
      <c r="P307" s="4" t="s">
        <v>31</v>
      </c>
      <c r="Q307" s="4" t="s">
        <v>557</v>
      </c>
      <c r="R307" s="5" t="s">
        <v>622</v>
      </c>
      <c r="S307" s="5"/>
      <c r="T307" s="4" t="s">
        <v>34</v>
      </c>
      <c r="U307" s="4">
        <v>3</v>
      </c>
      <c r="V307" s="17" t="s">
        <v>623</v>
      </c>
    </row>
    <row r="308" spans="1:22">
      <c r="B308" t="s">
        <v>624</v>
      </c>
      <c r="C308" t="s">
        <v>23</v>
      </c>
      <c r="D308" t="s">
        <v>555</v>
      </c>
      <c r="E308" t="s">
        <v>25</v>
      </c>
      <c r="H308" t="s">
        <v>34</v>
      </c>
      <c r="I308" t="s">
        <v>34</v>
      </c>
      <c r="N308" t="s">
        <v>30</v>
      </c>
    </row>
    <row r="309" spans="1:22">
      <c r="B309" t="s">
        <v>625</v>
      </c>
      <c r="C309" t="s">
        <v>23</v>
      </c>
      <c r="D309" t="s">
        <v>555</v>
      </c>
      <c r="E309" t="s">
        <v>25</v>
      </c>
      <c r="H309" t="s">
        <v>34</v>
      </c>
      <c r="I309" t="s">
        <v>34</v>
      </c>
      <c r="N309" t="s">
        <v>30</v>
      </c>
    </row>
    <row r="310" spans="1:22">
      <c r="B310" t="s">
        <v>626</v>
      </c>
      <c r="C310" t="s">
        <v>23</v>
      </c>
      <c r="D310" t="s">
        <v>555</v>
      </c>
      <c r="E310" t="s">
        <v>25</v>
      </c>
      <c r="H310" t="s">
        <v>34</v>
      </c>
      <c r="I310" t="s">
        <v>34</v>
      </c>
      <c r="N310" t="s">
        <v>30</v>
      </c>
    </row>
    <row r="311" spans="1:22">
      <c r="B311" t="s">
        <v>627</v>
      </c>
      <c r="C311" t="s">
        <v>23</v>
      </c>
      <c r="D311" t="s">
        <v>555</v>
      </c>
      <c r="E311" t="s">
        <v>25</v>
      </c>
      <c r="H311" t="s">
        <v>34</v>
      </c>
      <c r="I311" t="s">
        <v>34</v>
      </c>
      <c r="N311" t="s">
        <v>30</v>
      </c>
    </row>
    <row r="312" spans="1:22">
      <c r="B312" t="s">
        <v>628</v>
      </c>
      <c r="C312" t="s">
        <v>23</v>
      </c>
      <c r="D312" t="s">
        <v>555</v>
      </c>
      <c r="E312" t="s">
        <v>25</v>
      </c>
      <c r="H312" t="s">
        <v>34</v>
      </c>
      <c r="I312" t="s">
        <v>34</v>
      </c>
      <c r="N312" t="s">
        <v>30</v>
      </c>
    </row>
    <row r="313" spans="1:22">
      <c r="B313" t="s">
        <v>629</v>
      </c>
      <c r="C313" t="s">
        <v>23</v>
      </c>
      <c r="D313" t="s">
        <v>555</v>
      </c>
      <c r="E313" t="s">
        <v>25</v>
      </c>
      <c r="H313" t="s">
        <v>34</v>
      </c>
      <c r="I313" t="s">
        <v>34</v>
      </c>
      <c r="N313" t="s">
        <v>30</v>
      </c>
    </row>
    <row r="314" spans="1:22">
      <c r="B314" t="s">
        <v>630</v>
      </c>
      <c r="C314" t="s">
        <v>23</v>
      </c>
      <c r="D314" t="s">
        <v>555</v>
      </c>
      <c r="E314" t="s">
        <v>25</v>
      </c>
      <c r="H314" t="s">
        <v>34</v>
      </c>
      <c r="I314" t="s">
        <v>34</v>
      </c>
      <c r="N314" t="s">
        <v>30</v>
      </c>
    </row>
    <row r="315" spans="1:22">
      <c r="B315" t="s">
        <v>631</v>
      </c>
      <c r="C315" t="s">
        <v>23</v>
      </c>
      <c r="D315" t="s">
        <v>555</v>
      </c>
      <c r="E315" t="s">
        <v>25</v>
      </c>
      <c r="H315" t="s">
        <v>34</v>
      </c>
      <c r="I315" t="s">
        <v>34</v>
      </c>
      <c r="N315" t="s">
        <v>30</v>
      </c>
    </row>
    <row r="316" spans="1:22" s="4" customFormat="1" ht="16.5">
      <c r="A316" s="4" t="str">
        <f>"GL-"&amp;TEXT(ROW()-1,"0000")</f>
        <v>GL-0315</v>
      </c>
      <c r="B316" s="4" t="s">
        <v>632</v>
      </c>
      <c r="C316" s="4" t="s">
        <v>23</v>
      </c>
      <c r="D316" s="4" t="s">
        <v>201</v>
      </c>
      <c r="E316" s="4" t="s">
        <v>25</v>
      </c>
      <c r="F316" s="4" t="s">
        <v>277</v>
      </c>
      <c r="G316" s="4" t="s">
        <v>161</v>
      </c>
      <c r="H316" s="4" t="s">
        <v>34</v>
      </c>
      <c r="I316" s="4" t="s">
        <v>28</v>
      </c>
      <c r="J316" s="4" t="s">
        <v>28</v>
      </c>
      <c r="K316" s="4">
        <v>1</v>
      </c>
      <c r="L316" s="4" t="s">
        <v>28</v>
      </c>
      <c r="N316" s="4" t="s">
        <v>30</v>
      </c>
      <c r="P316" s="4" t="s">
        <v>201</v>
      </c>
      <c r="Q316" s="4" t="s">
        <v>633</v>
      </c>
      <c r="R316" s="3" t="s">
        <v>632</v>
      </c>
      <c r="S316" s="3" t="s">
        <v>634</v>
      </c>
      <c r="T316" s="4" t="s">
        <v>28</v>
      </c>
      <c r="U316" s="4">
        <v>3</v>
      </c>
      <c r="V316" s="17" t="s">
        <v>635</v>
      </c>
    </row>
    <row r="317" spans="1:22">
      <c r="B317" t="s">
        <v>636</v>
      </c>
      <c r="C317" t="s">
        <v>23</v>
      </c>
      <c r="D317" t="s">
        <v>555</v>
      </c>
      <c r="E317" t="s">
        <v>25</v>
      </c>
      <c r="H317" t="s">
        <v>34</v>
      </c>
      <c r="I317" t="s">
        <v>34</v>
      </c>
      <c r="N317" t="s">
        <v>30</v>
      </c>
    </row>
    <row r="318" spans="1:22">
      <c r="B318" t="s">
        <v>637</v>
      </c>
      <c r="C318" t="s">
        <v>23</v>
      </c>
      <c r="D318" t="s">
        <v>555</v>
      </c>
      <c r="E318" t="s">
        <v>25</v>
      </c>
      <c r="H318" t="s">
        <v>34</v>
      </c>
      <c r="I318" t="s">
        <v>34</v>
      </c>
      <c r="N318" t="s">
        <v>30</v>
      </c>
    </row>
    <row r="319" spans="1:22">
      <c r="B319" t="s">
        <v>638</v>
      </c>
      <c r="C319" t="s">
        <v>23</v>
      </c>
      <c r="D319" t="s">
        <v>555</v>
      </c>
      <c r="E319" t="s">
        <v>25</v>
      </c>
      <c r="H319" t="s">
        <v>34</v>
      </c>
      <c r="I319" t="s">
        <v>34</v>
      </c>
      <c r="N319" t="s">
        <v>30</v>
      </c>
    </row>
    <row r="320" spans="1:22">
      <c r="B320" t="s">
        <v>639</v>
      </c>
      <c r="C320" t="s">
        <v>37</v>
      </c>
      <c r="D320" t="s">
        <v>555</v>
      </c>
      <c r="E320" t="s">
        <v>91</v>
      </c>
      <c r="G320" t="s">
        <v>640</v>
      </c>
      <c r="H320" t="s">
        <v>28</v>
      </c>
      <c r="I320" t="s">
        <v>34</v>
      </c>
      <c r="N320" t="s">
        <v>39</v>
      </c>
    </row>
    <row r="321" spans="1:22">
      <c r="B321" t="s">
        <v>641</v>
      </c>
      <c r="C321" t="s">
        <v>23</v>
      </c>
      <c r="D321" t="s">
        <v>555</v>
      </c>
      <c r="E321" t="s">
        <v>25</v>
      </c>
      <c r="G321" t="s">
        <v>640</v>
      </c>
      <c r="H321" t="s">
        <v>34</v>
      </c>
      <c r="I321" t="s">
        <v>34</v>
      </c>
      <c r="N321" t="s">
        <v>41</v>
      </c>
    </row>
    <row r="322" spans="1:22" s="4" customFormat="1" ht="16.5">
      <c r="A322" s="4" t="str">
        <f t="shared" ref="A322:A327" si="6">"GL-"&amp;TEXT(ROW()-1,"0000")</f>
        <v>GL-0321</v>
      </c>
      <c r="B322" s="4" t="s">
        <v>642</v>
      </c>
      <c r="C322" s="4" t="s">
        <v>23</v>
      </c>
      <c r="D322" t="s">
        <v>555</v>
      </c>
      <c r="E322" t="s">
        <v>91</v>
      </c>
      <c r="F322" s="4" t="s">
        <v>114</v>
      </c>
      <c r="G322" s="4" t="s">
        <v>640</v>
      </c>
      <c r="H322" s="4" t="s">
        <v>34</v>
      </c>
      <c r="I322" s="4" t="s">
        <v>28</v>
      </c>
      <c r="J322" s="4" t="s">
        <v>28</v>
      </c>
      <c r="K322" s="4" t="s">
        <v>643</v>
      </c>
      <c r="N322" s="4" t="s">
        <v>30</v>
      </c>
      <c r="P322" s="4" t="s">
        <v>31</v>
      </c>
      <c r="Q322" s="4" t="s">
        <v>640</v>
      </c>
      <c r="R322" s="5" t="s">
        <v>644</v>
      </c>
      <c r="S322" s="5"/>
      <c r="T322" s="4" t="s">
        <v>28</v>
      </c>
      <c r="U322" s="4">
        <v>3</v>
      </c>
      <c r="V322" s="17" t="s">
        <v>645</v>
      </c>
    </row>
    <row r="323" spans="1:22" s="4" customFormat="1" ht="16.5">
      <c r="A323" s="4" t="str">
        <f t="shared" si="6"/>
        <v>GL-0322</v>
      </c>
      <c r="B323" s="4" t="s">
        <v>646</v>
      </c>
      <c r="C323" s="4" t="s">
        <v>23</v>
      </c>
      <c r="D323" t="s">
        <v>555</v>
      </c>
      <c r="E323" t="s">
        <v>91</v>
      </c>
      <c r="F323" s="4" t="s">
        <v>114</v>
      </c>
      <c r="G323" s="4" t="s">
        <v>640</v>
      </c>
      <c r="H323" s="4" t="s">
        <v>34</v>
      </c>
      <c r="I323" s="4" t="s">
        <v>28</v>
      </c>
      <c r="J323" s="4" t="s">
        <v>28</v>
      </c>
      <c r="K323" s="4" t="s">
        <v>643</v>
      </c>
      <c r="N323" s="4" t="s">
        <v>30</v>
      </c>
      <c r="P323" s="4" t="s">
        <v>31</v>
      </c>
      <c r="Q323" s="4" t="s">
        <v>640</v>
      </c>
      <c r="R323" s="5" t="s">
        <v>647</v>
      </c>
      <c r="S323" s="5"/>
      <c r="T323" s="4" t="s">
        <v>28</v>
      </c>
      <c r="U323" s="4">
        <v>3</v>
      </c>
      <c r="V323" s="17" t="s">
        <v>648</v>
      </c>
    </row>
    <row r="324" spans="1:22" s="4" customFormat="1" ht="16.5">
      <c r="A324" s="4" t="str">
        <f t="shared" si="6"/>
        <v>GL-0323</v>
      </c>
      <c r="B324" s="4" t="s">
        <v>649</v>
      </c>
      <c r="C324" s="4" t="s">
        <v>23</v>
      </c>
      <c r="D324" t="s">
        <v>555</v>
      </c>
      <c r="E324" t="s">
        <v>91</v>
      </c>
      <c r="F324" s="4" t="s">
        <v>114</v>
      </c>
      <c r="G324" s="4" t="s">
        <v>640</v>
      </c>
      <c r="H324" s="4" t="s">
        <v>34</v>
      </c>
      <c r="I324" s="4" t="s">
        <v>28</v>
      </c>
      <c r="J324" s="4" t="s">
        <v>28</v>
      </c>
      <c r="K324" s="4" t="s">
        <v>643</v>
      </c>
      <c r="N324" s="4" t="s">
        <v>30</v>
      </c>
      <c r="P324" s="4" t="s">
        <v>31</v>
      </c>
      <c r="Q324" s="4" t="s">
        <v>640</v>
      </c>
      <c r="R324" s="5" t="s">
        <v>650</v>
      </c>
      <c r="S324" s="5"/>
      <c r="T324" s="4" t="s">
        <v>28</v>
      </c>
      <c r="U324" s="4">
        <v>3</v>
      </c>
      <c r="V324" s="17" t="s">
        <v>651</v>
      </c>
    </row>
    <row r="325" spans="1:22" s="4" customFormat="1" ht="16.5">
      <c r="A325" s="4" t="str">
        <f t="shared" si="6"/>
        <v>GL-0324</v>
      </c>
      <c r="B325" s="4" t="s">
        <v>652</v>
      </c>
      <c r="C325" s="4" t="s">
        <v>23</v>
      </c>
      <c r="D325" t="s">
        <v>555</v>
      </c>
      <c r="E325" t="s">
        <v>91</v>
      </c>
      <c r="F325" s="4" t="s">
        <v>277</v>
      </c>
      <c r="G325" s="4" t="s">
        <v>640</v>
      </c>
      <c r="H325" s="4" t="s">
        <v>34</v>
      </c>
      <c r="I325" s="4" t="s">
        <v>28</v>
      </c>
      <c r="J325" s="4" t="s">
        <v>28</v>
      </c>
      <c r="K325" s="4" t="s">
        <v>643</v>
      </c>
      <c r="N325" s="4" t="s">
        <v>30</v>
      </c>
      <c r="P325" s="4" t="s">
        <v>31</v>
      </c>
      <c r="Q325" s="4" t="s">
        <v>640</v>
      </c>
      <c r="R325" s="5" t="s">
        <v>653</v>
      </c>
      <c r="S325" s="5"/>
      <c r="T325" s="4" t="s">
        <v>28</v>
      </c>
      <c r="U325" s="4">
        <v>3</v>
      </c>
      <c r="V325" s="17" t="s">
        <v>654</v>
      </c>
    </row>
    <row r="326" spans="1:22" s="4" customFormat="1" ht="16.5">
      <c r="A326" s="4" t="str">
        <f t="shared" si="6"/>
        <v>GL-0325</v>
      </c>
      <c r="B326" s="4" t="s">
        <v>655</v>
      </c>
      <c r="C326" s="4" t="s">
        <v>23</v>
      </c>
      <c r="D326" t="s">
        <v>555</v>
      </c>
      <c r="E326" t="s">
        <v>91</v>
      </c>
      <c r="F326" s="4" t="s">
        <v>114</v>
      </c>
      <c r="G326" s="4" t="s">
        <v>640</v>
      </c>
      <c r="H326" s="4" t="s">
        <v>34</v>
      </c>
      <c r="I326" s="4" t="s">
        <v>28</v>
      </c>
      <c r="J326" s="4" t="s">
        <v>28</v>
      </c>
      <c r="K326" s="4" t="s">
        <v>643</v>
      </c>
      <c r="N326" s="4" t="s">
        <v>30</v>
      </c>
      <c r="P326" s="4" t="s">
        <v>31</v>
      </c>
      <c r="Q326" s="4" t="s">
        <v>640</v>
      </c>
      <c r="R326" s="5" t="s">
        <v>656</v>
      </c>
      <c r="S326" s="5"/>
      <c r="T326" s="4" t="s">
        <v>28</v>
      </c>
      <c r="U326" s="4">
        <v>3</v>
      </c>
      <c r="V326" s="17" t="s">
        <v>657</v>
      </c>
    </row>
    <row r="327" spans="1:22" s="4" customFormat="1" ht="16.5">
      <c r="A327" s="4" t="str">
        <f t="shared" si="6"/>
        <v>GL-0326</v>
      </c>
      <c r="B327" s="4" t="s">
        <v>658</v>
      </c>
      <c r="C327" s="4" t="s">
        <v>23</v>
      </c>
      <c r="D327" t="s">
        <v>555</v>
      </c>
      <c r="E327" t="s">
        <v>91</v>
      </c>
      <c r="F327" s="4" t="s">
        <v>277</v>
      </c>
      <c r="G327" s="4" t="s">
        <v>640</v>
      </c>
      <c r="H327" s="4" t="s">
        <v>34</v>
      </c>
      <c r="I327" s="4" t="s">
        <v>28</v>
      </c>
      <c r="J327" s="4" t="s">
        <v>28</v>
      </c>
      <c r="K327" s="4" t="s">
        <v>643</v>
      </c>
      <c r="N327" s="4" t="s">
        <v>30</v>
      </c>
      <c r="P327" s="4" t="s">
        <v>31</v>
      </c>
      <c r="Q327" s="4" t="s">
        <v>640</v>
      </c>
      <c r="R327" s="5" t="s">
        <v>659</v>
      </c>
      <c r="S327" s="5"/>
      <c r="T327" s="4" t="s">
        <v>28</v>
      </c>
      <c r="U327" s="4">
        <v>3</v>
      </c>
      <c r="V327" s="17" t="s">
        <v>660</v>
      </c>
    </row>
    <row r="328" spans="1:22">
      <c r="B328" t="s">
        <v>661</v>
      </c>
      <c r="C328" t="s">
        <v>37</v>
      </c>
      <c r="D328" t="s">
        <v>555</v>
      </c>
      <c r="E328" t="s">
        <v>91</v>
      </c>
      <c r="G328" t="s">
        <v>640</v>
      </c>
      <c r="H328" t="s">
        <v>28</v>
      </c>
      <c r="I328" t="s">
        <v>34</v>
      </c>
      <c r="N328" t="s">
        <v>39</v>
      </c>
    </row>
    <row r="329" spans="1:22" s="4" customFormat="1" ht="16.5">
      <c r="A329" s="4" t="str">
        <f>"GL-"&amp;TEXT(ROW()-1,"0000")</f>
        <v>GL-0328</v>
      </c>
      <c r="B329" s="4" t="s">
        <v>662</v>
      </c>
      <c r="C329" s="4" t="s">
        <v>23</v>
      </c>
      <c r="D329" t="s">
        <v>555</v>
      </c>
      <c r="E329" t="s">
        <v>91</v>
      </c>
      <c r="F329" s="4" t="s">
        <v>277</v>
      </c>
      <c r="G329" s="4" t="s">
        <v>640</v>
      </c>
      <c r="H329" s="4" t="s">
        <v>34</v>
      </c>
      <c r="I329" s="4" t="s">
        <v>28</v>
      </c>
      <c r="J329" s="4" t="s">
        <v>28</v>
      </c>
      <c r="K329" s="4" t="s">
        <v>643</v>
      </c>
      <c r="N329" s="4" t="s">
        <v>30</v>
      </c>
      <c r="P329" s="4" t="s">
        <v>31</v>
      </c>
      <c r="Q329" s="4" t="s">
        <v>640</v>
      </c>
      <c r="R329" s="5" t="s">
        <v>663</v>
      </c>
      <c r="S329" s="5"/>
      <c r="T329" s="4" t="s">
        <v>28</v>
      </c>
      <c r="U329" s="4">
        <v>3</v>
      </c>
      <c r="V329" s="17" t="s">
        <v>664</v>
      </c>
    </row>
    <row r="330" spans="1:22">
      <c r="B330" t="s">
        <v>665</v>
      </c>
      <c r="C330" t="s">
        <v>23</v>
      </c>
      <c r="D330" t="s">
        <v>555</v>
      </c>
      <c r="E330" t="s">
        <v>91</v>
      </c>
      <c r="G330" t="s">
        <v>640</v>
      </c>
      <c r="H330" t="s">
        <v>34</v>
      </c>
      <c r="I330" t="s">
        <v>34</v>
      </c>
      <c r="N330" t="s">
        <v>30</v>
      </c>
    </row>
    <row r="331" spans="1:22">
      <c r="B331" t="s">
        <v>666</v>
      </c>
      <c r="C331" t="s">
        <v>23</v>
      </c>
      <c r="D331" t="s">
        <v>555</v>
      </c>
      <c r="E331" t="s">
        <v>91</v>
      </c>
      <c r="G331" t="s">
        <v>667</v>
      </c>
      <c r="H331" t="s">
        <v>34</v>
      </c>
      <c r="I331" t="s">
        <v>34</v>
      </c>
      <c r="N331" t="s">
        <v>30</v>
      </c>
    </row>
    <row r="332" spans="1:22">
      <c r="B332" t="s">
        <v>668</v>
      </c>
      <c r="C332" t="s">
        <v>23</v>
      </c>
      <c r="D332" t="s">
        <v>555</v>
      </c>
      <c r="E332" t="s">
        <v>91</v>
      </c>
      <c r="G332" t="s">
        <v>667</v>
      </c>
      <c r="H332" t="s">
        <v>34</v>
      </c>
      <c r="I332" t="s">
        <v>34</v>
      </c>
      <c r="N332" t="s">
        <v>30</v>
      </c>
    </row>
    <row r="333" spans="1:22">
      <c r="B333" t="s">
        <v>669</v>
      </c>
      <c r="C333" t="s">
        <v>23</v>
      </c>
      <c r="D333" t="s">
        <v>555</v>
      </c>
      <c r="E333" t="s">
        <v>91</v>
      </c>
      <c r="G333" t="s">
        <v>667</v>
      </c>
      <c r="H333" t="s">
        <v>34</v>
      </c>
      <c r="I333" t="s">
        <v>34</v>
      </c>
      <c r="N333" t="s">
        <v>30</v>
      </c>
    </row>
    <row r="334" spans="1:22">
      <c r="B334" t="s">
        <v>641</v>
      </c>
      <c r="C334" t="s">
        <v>23</v>
      </c>
      <c r="D334" t="s">
        <v>555</v>
      </c>
      <c r="E334" t="s">
        <v>91</v>
      </c>
      <c r="G334" t="s">
        <v>667</v>
      </c>
      <c r="H334" t="s">
        <v>34</v>
      </c>
      <c r="I334" t="s">
        <v>34</v>
      </c>
      <c r="N334" t="s">
        <v>30</v>
      </c>
    </row>
    <row r="335" spans="1:22">
      <c r="B335" t="s">
        <v>670</v>
      </c>
      <c r="C335" t="s">
        <v>23</v>
      </c>
      <c r="D335" t="s">
        <v>555</v>
      </c>
      <c r="E335" t="s">
        <v>91</v>
      </c>
      <c r="G335" t="s">
        <v>667</v>
      </c>
      <c r="H335" t="s">
        <v>34</v>
      </c>
      <c r="I335" t="s">
        <v>34</v>
      </c>
      <c r="N335" t="s">
        <v>30</v>
      </c>
    </row>
    <row r="336" spans="1:22">
      <c r="B336" t="s">
        <v>671</v>
      </c>
      <c r="C336" t="s">
        <v>23</v>
      </c>
      <c r="D336" t="s">
        <v>555</v>
      </c>
      <c r="E336" t="s">
        <v>91</v>
      </c>
      <c r="G336" t="s">
        <v>667</v>
      </c>
      <c r="H336" t="s">
        <v>34</v>
      </c>
      <c r="I336" t="s">
        <v>34</v>
      </c>
      <c r="N336" t="s">
        <v>30</v>
      </c>
    </row>
    <row r="337" spans="1:22">
      <c r="B337" t="s">
        <v>672</v>
      </c>
      <c r="C337" t="s">
        <v>23</v>
      </c>
      <c r="D337" t="s">
        <v>555</v>
      </c>
      <c r="E337" t="s">
        <v>91</v>
      </c>
      <c r="G337" t="s">
        <v>667</v>
      </c>
      <c r="H337" t="s">
        <v>34</v>
      </c>
      <c r="I337" t="s">
        <v>34</v>
      </c>
      <c r="N337" t="s">
        <v>30</v>
      </c>
    </row>
    <row r="338" spans="1:22">
      <c r="B338" t="s">
        <v>673</v>
      </c>
      <c r="C338" t="s">
        <v>23</v>
      </c>
      <c r="D338" t="s">
        <v>555</v>
      </c>
      <c r="E338" t="s">
        <v>91</v>
      </c>
      <c r="G338" t="s">
        <v>667</v>
      </c>
      <c r="H338" t="s">
        <v>34</v>
      </c>
      <c r="I338" t="s">
        <v>34</v>
      </c>
      <c r="N338" t="s">
        <v>30</v>
      </c>
    </row>
    <row r="339" spans="1:22">
      <c r="B339" t="s">
        <v>674</v>
      </c>
      <c r="C339" t="s">
        <v>23</v>
      </c>
      <c r="D339" t="s">
        <v>555</v>
      </c>
      <c r="E339" t="s">
        <v>91</v>
      </c>
      <c r="G339" t="s">
        <v>667</v>
      </c>
      <c r="H339" t="s">
        <v>34</v>
      </c>
      <c r="I339" t="s">
        <v>34</v>
      </c>
      <c r="N339" t="s">
        <v>30</v>
      </c>
    </row>
    <row r="340" spans="1:22">
      <c r="B340" t="s">
        <v>675</v>
      </c>
      <c r="C340" t="s">
        <v>23</v>
      </c>
      <c r="D340" t="s">
        <v>555</v>
      </c>
      <c r="E340" t="s">
        <v>91</v>
      </c>
      <c r="G340" t="s">
        <v>667</v>
      </c>
      <c r="H340" t="s">
        <v>34</v>
      </c>
      <c r="I340" t="s">
        <v>34</v>
      </c>
      <c r="N340" t="s">
        <v>30</v>
      </c>
    </row>
    <row r="341" spans="1:22">
      <c r="B341" t="s">
        <v>676</v>
      </c>
      <c r="C341" t="s">
        <v>23</v>
      </c>
      <c r="D341" t="s">
        <v>555</v>
      </c>
      <c r="E341" t="s">
        <v>91</v>
      </c>
      <c r="G341" t="s">
        <v>667</v>
      </c>
      <c r="H341" t="s">
        <v>34</v>
      </c>
      <c r="I341" t="s">
        <v>34</v>
      </c>
      <c r="N341" t="s">
        <v>30</v>
      </c>
    </row>
    <row r="342" spans="1:22">
      <c r="B342" t="s">
        <v>677</v>
      </c>
      <c r="C342" t="s">
        <v>23</v>
      </c>
      <c r="D342" t="s">
        <v>555</v>
      </c>
      <c r="E342" t="s">
        <v>91</v>
      </c>
      <c r="G342" t="s">
        <v>667</v>
      </c>
      <c r="H342" t="s">
        <v>34</v>
      </c>
      <c r="I342" t="s">
        <v>34</v>
      </c>
      <c r="N342" t="s">
        <v>30</v>
      </c>
    </row>
    <row r="343" spans="1:22">
      <c r="B343" t="s">
        <v>678</v>
      </c>
      <c r="C343" t="s">
        <v>23</v>
      </c>
      <c r="D343" t="s">
        <v>555</v>
      </c>
      <c r="E343" t="s">
        <v>91</v>
      </c>
      <c r="G343" t="s">
        <v>667</v>
      </c>
      <c r="H343" t="s">
        <v>34</v>
      </c>
      <c r="I343" t="s">
        <v>34</v>
      </c>
      <c r="N343" t="s">
        <v>30</v>
      </c>
    </row>
    <row r="344" spans="1:22">
      <c r="B344" t="s">
        <v>679</v>
      </c>
      <c r="C344" t="s">
        <v>23</v>
      </c>
      <c r="D344" t="s">
        <v>555</v>
      </c>
      <c r="E344" t="s">
        <v>91</v>
      </c>
      <c r="G344" t="s">
        <v>667</v>
      </c>
      <c r="H344" t="s">
        <v>34</v>
      </c>
      <c r="I344" t="s">
        <v>34</v>
      </c>
      <c r="N344" t="s">
        <v>30</v>
      </c>
    </row>
    <row r="345" spans="1:22" ht="16.5">
      <c r="A345" s="4" t="str">
        <f t="shared" ref="A345:A346" si="7">"GL-"&amp;TEXT(ROW()-1,"0000")</f>
        <v>GL-0344</v>
      </c>
      <c r="B345" s="4" t="s">
        <v>680</v>
      </c>
      <c r="C345" s="4" t="s">
        <v>23</v>
      </c>
      <c r="D345" s="4" t="s">
        <v>201</v>
      </c>
      <c r="E345" s="4" t="s">
        <v>25</v>
      </c>
      <c r="F345" s="4" t="s">
        <v>277</v>
      </c>
      <c r="G345" s="4" t="s">
        <v>161</v>
      </c>
      <c r="H345" s="4" t="s">
        <v>34</v>
      </c>
      <c r="I345" s="4" t="s">
        <v>28</v>
      </c>
      <c r="J345" s="4" t="s">
        <v>28</v>
      </c>
      <c r="K345" s="4">
        <v>1</v>
      </c>
      <c r="L345" s="4" t="s">
        <v>28</v>
      </c>
      <c r="M345" s="4"/>
      <c r="N345" s="4" t="s">
        <v>41</v>
      </c>
      <c r="O345" s="4"/>
      <c r="P345" s="4" t="s">
        <v>201</v>
      </c>
      <c r="Q345" s="4" t="s">
        <v>633</v>
      </c>
      <c r="R345" s="5" t="s">
        <v>681</v>
      </c>
      <c r="S345" s="5"/>
      <c r="T345" s="4" t="s">
        <v>28</v>
      </c>
      <c r="U345" s="4">
        <v>0</v>
      </c>
      <c r="V345" s="17" t="s">
        <v>682</v>
      </c>
    </row>
    <row r="346" spans="1:22" ht="16.5">
      <c r="A346" s="4" t="str">
        <f t="shared" si="7"/>
        <v>GL-0345</v>
      </c>
      <c r="B346" s="4" t="s">
        <v>683</v>
      </c>
      <c r="C346" s="4" t="s">
        <v>23</v>
      </c>
      <c r="D346" s="4" t="s">
        <v>201</v>
      </c>
      <c r="E346" s="4" t="s">
        <v>25</v>
      </c>
      <c r="F346" s="4" t="s">
        <v>277</v>
      </c>
      <c r="G346" s="4" t="s">
        <v>161</v>
      </c>
      <c r="H346" s="4" t="s">
        <v>34</v>
      </c>
      <c r="I346" s="4" t="s">
        <v>28</v>
      </c>
      <c r="J346" s="4" t="s">
        <v>28</v>
      </c>
      <c r="K346" s="4" t="s">
        <v>643</v>
      </c>
      <c r="L346" s="4" t="s">
        <v>34</v>
      </c>
      <c r="M346" s="4"/>
      <c r="N346" s="4" t="s">
        <v>41</v>
      </c>
      <c r="O346" s="4"/>
      <c r="P346" s="4" t="s">
        <v>201</v>
      </c>
      <c r="Q346" s="4" t="s">
        <v>684</v>
      </c>
      <c r="R346" s="5" t="s">
        <v>685</v>
      </c>
      <c r="S346" s="5"/>
      <c r="T346" s="4" t="s">
        <v>34</v>
      </c>
      <c r="U346" s="4">
        <v>3</v>
      </c>
      <c r="V346" s="17" t="s">
        <v>686</v>
      </c>
    </row>
    <row r="347" spans="1:22">
      <c r="B347" t="s">
        <v>687</v>
      </c>
      <c r="C347" t="s">
        <v>37</v>
      </c>
      <c r="D347" t="s">
        <v>55</v>
      </c>
      <c r="E347" t="s">
        <v>91</v>
      </c>
      <c r="H347" t="s">
        <v>28</v>
      </c>
      <c r="I347" t="s">
        <v>34</v>
      </c>
      <c r="N347" t="s">
        <v>39</v>
      </c>
      <c r="V347" s="19" t="s">
        <v>688</v>
      </c>
    </row>
    <row r="348" spans="1:22" ht="16.5">
      <c r="A348" s="4" t="str">
        <f>"GL-"&amp;TEXT(ROW()-1,"0000")</f>
        <v>GL-0347</v>
      </c>
      <c r="B348" s="4" t="s">
        <v>689</v>
      </c>
      <c r="C348" s="4" t="s">
        <v>23</v>
      </c>
      <c r="D348" s="4" t="s">
        <v>38</v>
      </c>
      <c r="E348" s="4" t="s">
        <v>25</v>
      </c>
      <c r="F348" s="4" t="s">
        <v>38</v>
      </c>
      <c r="G348" s="4" t="s">
        <v>161</v>
      </c>
      <c r="H348" s="4" t="s">
        <v>34</v>
      </c>
      <c r="I348" s="4" t="s">
        <v>28</v>
      </c>
      <c r="J348" s="4" t="s">
        <v>28</v>
      </c>
      <c r="K348" s="4" t="s">
        <v>643</v>
      </c>
      <c r="L348" s="4" t="s">
        <v>28</v>
      </c>
      <c r="M348" s="4" t="s">
        <v>621</v>
      </c>
      <c r="N348" s="4" t="s">
        <v>30</v>
      </c>
      <c r="O348" s="4" t="s">
        <v>28</v>
      </c>
      <c r="P348" s="4" t="s">
        <v>38</v>
      </c>
      <c r="Q348" s="4" t="s">
        <v>42</v>
      </c>
      <c r="R348" s="5" t="s">
        <v>690</v>
      </c>
      <c r="S348" s="5"/>
      <c r="T348" s="4" t="s">
        <v>28</v>
      </c>
      <c r="U348" s="4">
        <v>3</v>
      </c>
      <c r="V348" s="17" t="s">
        <v>691</v>
      </c>
    </row>
    <row r="349" spans="1:22">
      <c r="B349" t="s">
        <v>692</v>
      </c>
      <c r="C349" t="s">
        <v>37</v>
      </c>
      <c r="D349" t="s">
        <v>24</v>
      </c>
      <c r="E349" t="s">
        <v>25</v>
      </c>
      <c r="H349" t="s">
        <v>34</v>
      </c>
      <c r="I349" t="s">
        <v>34</v>
      </c>
      <c r="N349" t="s">
        <v>30</v>
      </c>
    </row>
    <row r="350" spans="1:22">
      <c r="B350" t="s">
        <v>693</v>
      </c>
      <c r="C350" t="s">
        <v>37</v>
      </c>
      <c r="D350" t="s">
        <v>24</v>
      </c>
      <c r="E350" t="s">
        <v>91</v>
      </c>
      <c r="H350" t="s">
        <v>34</v>
      </c>
      <c r="I350" t="s">
        <v>34</v>
      </c>
      <c r="N350" t="s">
        <v>41</v>
      </c>
    </row>
    <row r="351" spans="1:22">
      <c r="B351" t="s">
        <v>694</v>
      </c>
      <c r="C351" t="s">
        <v>37</v>
      </c>
      <c r="D351" t="s">
        <v>201</v>
      </c>
      <c r="E351" t="s">
        <v>91</v>
      </c>
      <c r="H351" t="s">
        <v>34</v>
      </c>
      <c r="I351" t="s">
        <v>34</v>
      </c>
      <c r="N351" t="s">
        <v>30</v>
      </c>
    </row>
    <row r="352" spans="1:22">
      <c r="B352" t="s">
        <v>695</v>
      </c>
      <c r="C352" t="s">
        <v>23</v>
      </c>
      <c r="D352" t="s">
        <v>201</v>
      </c>
      <c r="E352" t="s">
        <v>136</v>
      </c>
      <c r="G352" t="s">
        <v>161</v>
      </c>
      <c r="H352" t="s">
        <v>34</v>
      </c>
      <c r="I352" t="s">
        <v>34</v>
      </c>
      <c r="N352" t="s">
        <v>39</v>
      </c>
    </row>
    <row r="353" spans="1:22">
      <c r="B353" t="s">
        <v>696</v>
      </c>
      <c r="C353" t="s">
        <v>23</v>
      </c>
      <c r="D353" t="s">
        <v>201</v>
      </c>
      <c r="E353" t="s">
        <v>91</v>
      </c>
      <c r="G353" t="s">
        <v>161</v>
      </c>
      <c r="H353" t="s">
        <v>34</v>
      </c>
      <c r="I353" t="s">
        <v>34</v>
      </c>
      <c r="N353" t="s">
        <v>39</v>
      </c>
    </row>
    <row r="354" spans="1:22">
      <c r="B354" t="s">
        <v>697</v>
      </c>
      <c r="C354" t="s">
        <v>23</v>
      </c>
      <c r="D354" t="s">
        <v>201</v>
      </c>
      <c r="E354" t="s">
        <v>91</v>
      </c>
      <c r="G354" t="s">
        <v>161</v>
      </c>
      <c r="H354" t="s">
        <v>34</v>
      </c>
      <c r="I354" t="s">
        <v>34</v>
      </c>
      <c r="N354" t="s">
        <v>39</v>
      </c>
    </row>
    <row r="355" spans="1:22">
      <c r="B355" t="s">
        <v>698</v>
      </c>
      <c r="C355" t="s">
        <v>23</v>
      </c>
      <c r="D355" t="s">
        <v>201</v>
      </c>
      <c r="E355" t="s">
        <v>91</v>
      </c>
      <c r="G355" t="s">
        <v>161</v>
      </c>
      <c r="H355" t="s">
        <v>34</v>
      </c>
      <c r="I355" t="s">
        <v>34</v>
      </c>
      <c r="N355" t="s">
        <v>30</v>
      </c>
    </row>
    <row r="356" spans="1:22" s="4" customFormat="1">
      <c r="B356" t="s">
        <v>699</v>
      </c>
      <c r="C356" t="s">
        <v>23</v>
      </c>
      <c r="D356" t="s">
        <v>24</v>
      </c>
      <c r="E356" t="s">
        <v>25</v>
      </c>
      <c r="F356"/>
      <c r="G356" t="s">
        <v>161</v>
      </c>
      <c r="H356" t="s">
        <v>34</v>
      </c>
      <c r="I356" t="s">
        <v>34</v>
      </c>
      <c r="J356"/>
      <c r="K356"/>
      <c r="L356"/>
      <c r="M356"/>
      <c r="N356" t="s">
        <v>30</v>
      </c>
      <c r="O356"/>
      <c r="P356"/>
      <c r="Q356"/>
      <c r="R356"/>
      <c r="S356"/>
      <c r="T356"/>
      <c r="U356"/>
      <c r="V356"/>
    </row>
    <row r="357" spans="1:22" s="4" customFormat="1">
      <c r="B357" t="s">
        <v>700</v>
      </c>
      <c r="C357" t="s">
        <v>37</v>
      </c>
      <c r="D357" t="s">
        <v>201</v>
      </c>
      <c r="E357" t="s">
        <v>25</v>
      </c>
      <c r="F357"/>
      <c r="G357" t="s">
        <v>161</v>
      </c>
      <c r="H357" t="s">
        <v>34</v>
      </c>
      <c r="I357" t="s">
        <v>34</v>
      </c>
      <c r="J357"/>
      <c r="K357">
        <v>1</v>
      </c>
      <c r="L357" t="s">
        <v>34</v>
      </c>
      <c r="M357" t="s">
        <v>701</v>
      </c>
      <c r="N357" t="s">
        <v>41</v>
      </c>
      <c r="O357"/>
      <c r="P357"/>
      <c r="Q357"/>
      <c r="R357" s="3" t="s">
        <v>702</v>
      </c>
      <c r="S357" s="3"/>
      <c r="T357" s="3"/>
      <c r="U357"/>
      <c r="V357"/>
    </row>
    <row r="358" spans="1:22" s="4" customFormat="1" ht="16.5">
      <c r="A358" s="4" t="str">
        <f t="shared" ref="A358:A359" si="8">"GL-"&amp;TEXT(ROW()-1,"0000")</f>
        <v>GL-0357</v>
      </c>
      <c r="B358" s="4" t="s">
        <v>703</v>
      </c>
      <c r="C358" s="4" t="s">
        <v>23</v>
      </c>
      <c r="D358" s="4" t="s">
        <v>55</v>
      </c>
      <c r="E358" s="4" t="s">
        <v>136</v>
      </c>
      <c r="F358" s="4" t="s">
        <v>26</v>
      </c>
      <c r="G358" s="4" t="s">
        <v>147</v>
      </c>
      <c r="H358" s="4" t="s">
        <v>28</v>
      </c>
      <c r="I358" s="4" t="s">
        <v>28</v>
      </c>
      <c r="J358" s="4" t="s">
        <v>28</v>
      </c>
      <c r="K358" s="4" t="s">
        <v>643</v>
      </c>
      <c r="L358" s="4" t="s">
        <v>34</v>
      </c>
      <c r="M358" s="4" t="s">
        <v>704</v>
      </c>
      <c r="N358" s="4" t="s">
        <v>41</v>
      </c>
      <c r="P358" s="4" t="s">
        <v>31</v>
      </c>
      <c r="Q358" s="4" t="s">
        <v>26</v>
      </c>
      <c r="R358" s="3" t="s">
        <v>705</v>
      </c>
      <c r="S358" s="5"/>
      <c r="U358" s="4">
        <v>3</v>
      </c>
      <c r="V358" s="17" t="s">
        <v>706</v>
      </c>
    </row>
    <row r="359" spans="1:22" s="4" customFormat="1" ht="16.5">
      <c r="A359" s="4" t="str">
        <f t="shared" si="8"/>
        <v>GL-0358</v>
      </c>
      <c r="B359" s="4" t="s">
        <v>707</v>
      </c>
      <c r="C359" s="4" t="s">
        <v>23</v>
      </c>
      <c r="D359" s="4" t="s">
        <v>67</v>
      </c>
      <c r="E359" s="4" t="s">
        <v>25</v>
      </c>
      <c r="F359" s="4" t="s">
        <v>67</v>
      </c>
      <c r="G359" s="4" t="s">
        <v>27</v>
      </c>
      <c r="H359" s="4" t="s">
        <v>28</v>
      </c>
      <c r="I359" s="4" t="s">
        <v>28</v>
      </c>
      <c r="J359" s="4" t="s">
        <v>28</v>
      </c>
      <c r="K359" s="4" t="s">
        <v>134</v>
      </c>
      <c r="L359" s="4" t="s">
        <v>28</v>
      </c>
      <c r="N359" s="4" t="s">
        <v>39</v>
      </c>
      <c r="O359" s="4" t="s">
        <v>28</v>
      </c>
      <c r="P359" s="4" t="s">
        <v>24</v>
      </c>
      <c r="Q359" s="4" t="s">
        <v>67</v>
      </c>
      <c r="R359" s="5" t="s">
        <v>84</v>
      </c>
      <c r="S359" s="3" t="s">
        <v>84</v>
      </c>
      <c r="T359" s="4" t="s">
        <v>34</v>
      </c>
      <c r="U359" s="4">
        <v>3</v>
      </c>
      <c r="V359" s="17" t="s">
        <v>708</v>
      </c>
    </row>
    <row r="360" spans="1:22" s="4" customFormat="1">
      <c r="B360" t="s">
        <v>709</v>
      </c>
      <c r="C360" t="s">
        <v>37</v>
      </c>
      <c r="D360" t="s">
        <v>201</v>
      </c>
      <c r="E360" t="s">
        <v>25</v>
      </c>
      <c r="F360"/>
      <c r="G360" t="s">
        <v>161</v>
      </c>
      <c r="H360" t="s">
        <v>34</v>
      </c>
      <c r="I360" t="s">
        <v>34</v>
      </c>
      <c r="J360"/>
      <c r="K360">
        <v>1</v>
      </c>
      <c r="L360" t="s">
        <v>28</v>
      </c>
      <c r="M360" t="s">
        <v>710</v>
      </c>
      <c r="N360" t="s">
        <v>39</v>
      </c>
      <c r="O360"/>
      <c r="P360"/>
      <c r="Q360"/>
      <c r="R360" s="3" t="s">
        <v>711</v>
      </c>
      <c r="S360" s="3"/>
      <c r="T360"/>
      <c r="U360"/>
      <c r="V360"/>
    </row>
    <row r="361" spans="1:22" s="4" customFormat="1">
      <c r="B361" s="14" t="s">
        <v>712</v>
      </c>
      <c r="C361" t="s">
        <v>37</v>
      </c>
      <c r="D361" t="s">
        <v>201</v>
      </c>
      <c r="E361" t="s">
        <v>25</v>
      </c>
      <c r="F361"/>
      <c r="G361" t="s">
        <v>161</v>
      </c>
      <c r="H361" t="s">
        <v>34</v>
      </c>
      <c r="I361" t="s">
        <v>34</v>
      </c>
      <c r="J361"/>
      <c r="K361">
        <v>1</v>
      </c>
      <c r="L361" t="s">
        <v>28</v>
      </c>
      <c r="M361" t="s">
        <v>710</v>
      </c>
      <c r="N361" t="s">
        <v>39</v>
      </c>
      <c r="O361"/>
      <c r="P361"/>
      <c r="Q361"/>
      <c r="R361" s="3" t="s">
        <v>713</v>
      </c>
      <c r="S361" s="3"/>
      <c r="T361"/>
      <c r="U361"/>
      <c r="V361"/>
    </row>
    <row r="362" spans="1:22" ht="16.5">
      <c r="A362" s="4" t="str">
        <f>"GL-"&amp;TEXT(ROW()-1,"0000")</f>
        <v>GL-0361</v>
      </c>
      <c r="B362" s="4" t="s">
        <v>714</v>
      </c>
      <c r="C362" s="4" t="s">
        <v>23</v>
      </c>
      <c r="D362" s="4" t="s">
        <v>67</v>
      </c>
      <c r="E362" s="4" t="s">
        <v>25</v>
      </c>
      <c r="F362" s="4" t="s">
        <v>67</v>
      </c>
      <c r="G362" s="4" t="s">
        <v>27</v>
      </c>
      <c r="H362" s="4" t="s">
        <v>28</v>
      </c>
      <c r="I362" s="4" t="s">
        <v>28</v>
      </c>
      <c r="J362" s="4" t="s">
        <v>28</v>
      </c>
      <c r="K362" s="4" t="s">
        <v>29</v>
      </c>
      <c r="L362" s="4" t="s">
        <v>34</v>
      </c>
      <c r="M362" s="4"/>
      <c r="N362" s="4" t="s">
        <v>41</v>
      </c>
      <c r="O362" s="4"/>
      <c r="P362" s="4" t="s">
        <v>24</v>
      </c>
      <c r="Q362" s="4" t="s">
        <v>67</v>
      </c>
      <c r="R362" s="4"/>
      <c r="S362" s="4"/>
      <c r="T362" s="4" t="s">
        <v>34</v>
      </c>
      <c r="U362" s="4">
        <v>3</v>
      </c>
      <c r="V362" s="17" t="s">
        <v>715</v>
      </c>
    </row>
    <row r="363" spans="1:22">
      <c r="B363" t="s">
        <v>716</v>
      </c>
      <c r="C363" t="s">
        <v>37</v>
      </c>
      <c r="D363" t="s">
        <v>201</v>
      </c>
      <c r="E363" t="s">
        <v>25</v>
      </c>
      <c r="F363" t="s">
        <v>277</v>
      </c>
      <c r="G363" t="s">
        <v>161</v>
      </c>
      <c r="H363" t="s">
        <v>34</v>
      </c>
      <c r="I363" t="s">
        <v>34</v>
      </c>
      <c r="K363" t="s">
        <v>561</v>
      </c>
      <c r="L363" t="s">
        <v>28</v>
      </c>
      <c r="N363" t="s">
        <v>39</v>
      </c>
      <c r="T363" t="s">
        <v>34</v>
      </c>
    </row>
    <row r="364" spans="1:22">
      <c r="B364" t="s">
        <v>717</v>
      </c>
      <c r="C364" t="s">
        <v>37</v>
      </c>
      <c r="D364" t="s">
        <v>201</v>
      </c>
      <c r="E364" t="s">
        <v>25</v>
      </c>
      <c r="F364" t="s">
        <v>277</v>
      </c>
      <c r="G364" t="s">
        <v>161</v>
      </c>
      <c r="H364" t="s">
        <v>34</v>
      </c>
      <c r="I364" t="s">
        <v>34</v>
      </c>
      <c r="K364" t="s">
        <v>561</v>
      </c>
    </row>
    <row r="365" spans="1:22">
      <c r="B365" t="s">
        <v>718</v>
      </c>
      <c r="C365" t="s">
        <v>37</v>
      </c>
      <c r="D365" t="s">
        <v>38</v>
      </c>
      <c r="E365" t="s">
        <v>25</v>
      </c>
      <c r="F365" t="s">
        <v>38</v>
      </c>
      <c r="G365" t="s">
        <v>161</v>
      </c>
      <c r="H365" t="s">
        <v>34</v>
      </c>
      <c r="I365" t="s">
        <v>34</v>
      </c>
      <c r="K365" t="s">
        <v>561</v>
      </c>
    </row>
    <row r="366" spans="1:22">
      <c r="B366" t="s">
        <v>719</v>
      </c>
      <c r="C366" t="s">
        <v>37</v>
      </c>
      <c r="D366" t="s">
        <v>201</v>
      </c>
      <c r="E366" t="s">
        <v>25</v>
      </c>
      <c r="F366" t="s">
        <v>277</v>
      </c>
      <c r="G366" t="s">
        <v>161</v>
      </c>
      <c r="H366" t="s">
        <v>34</v>
      </c>
      <c r="I366" t="s">
        <v>34</v>
      </c>
      <c r="K366" t="s">
        <v>561</v>
      </c>
      <c r="N366" t="s">
        <v>94</v>
      </c>
      <c r="R366" s="3" t="s">
        <v>720</v>
      </c>
      <c r="S366" s="3"/>
      <c r="T366" t="s">
        <v>28</v>
      </c>
      <c r="U366">
        <v>4</v>
      </c>
    </row>
    <row r="367" spans="1:22" s="4" customFormat="1" ht="16.5">
      <c r="A367" s="4" t="str">
        <f t="shared" ref="A367:A376" si="9">"GL-"&amp;TEXT(ROW()-1,"0000")</f>
        <v>GL-0366</v>
      </c>
      <c r="B367" s="16" t="s">
        <v>721</v>
      </c>
      <c r="C367" s="4" t="s">
        <v>23</v>
      </c>
      <c r="E367" s="4" t="s">
        <v>136</v>
      </c>
      <c r="F367" s="4" t="s">
        <v>26</v>
      </c>
      <c r="G367" s="4" t="s">
        <v>147</v>
      </c>
      <c r="H367" s="4" t="s">
        <v>28</v>
      </c>
      <c r="I367" s="4" t="s">
        <v>28</v>
      </c>
      <c r="J367" s="4" t="s">
        <v>34</v>
      </c>
      <c r="K367" s="4" t="s">
        <v>561</v>
      </c>
      <c r="L367" s="4" t="s">
        <v>28</v>
      </c>
      <c r="N367" s="4" t="s">
        <v>30</v>
      </c>
      <c r="O367" s="4" t="s">
        <v>28</v>
      </c>
      <c r="P367" s="4" t="s">
        <v>31</v>
      </c>
      <c r="Q367" s="4" t="s">
        <v>26</v>
      </c>
      <c r="R367" s="5" t="s">
        <v>722</v>
      </c>
      <c r="S367" s="5"/>
      <c r="T367" s="4" t="s">
        <v>28</v>
      </c>
      <c r="U367" s="4" t="s">
        <v>52</v>
      </c>
      <c r="V367" s="17" t="s">
        <v>723</v>
      </c>
    </row>
    <row r="368" spans="1:22" s="4" customFormat="1" ht="16.5">
      <c r="A368" s="4" t="str">
        <f t="shared" si="9"/>
        <v>GL-0367</v>
      </c>
      <c r="B368" s="16" t="s">
        <v>724</v>
      </c>
      <c r="C368" s="4" t="s">
        <v>23</v>
      </c>
      <c r="E368" s="4" t="s">
        <v>136</v>
      </c>
      <c r="F368" s="4" t="s">
        <v>26</v>
      </c>
      <c r="G368" s="4" t="s">
        <v>147</v>
      </c>
      <c r="H368" s="4" t="s">
        <v>28</v>
      </c>
      <c r="I368" s="4" t="s">
        <v>28</v>
      </c>
      <c r="J368" s="4" t="s">
        <v>28</v>
      </c>
      <c r="K368" s="4" t="s">
        <v>725</v>
      </c>
      <c r="N368" s="4" t="s">
        <v>30</v>
      </c>
      <c r="P368" s="4" t="s">
        <v>31</v>
      </c>
      <c r="Q368" s="4" t="s">
        <v>26</v>
      </c>
      <c r="R368" s="5" t="s">
        <v>726</v>
      </c>
      <c r="S368" s="5"/>
      <c r="T368" s="4" t="s">
        <v>28</v>
      </c>
      <c r="U368" s="4">
        <v>4</v>
      </c>
      <c r="V368" s="17" t="s">
        <v>727</v>
      </c>
    </row>
    <row r="369" spans="1:22" s="4" customFormat="1" ht="16.5">
      <c r="A369" s="4" t="str">
        <f t="shared" si="9"/>
        <v>GL-0368</v>
      </c>
      <c r="B369" s="16" t="s">
        <v>728</v>
      </c>
      <c r="C369" s="4" t="s">
        <v>23</v>
      </c>
      <c r="E369" s="4" t="s">
        <v>136</v>
      </c>
      <c r="F369" s="4" t="s">
        <v>67</v>
      </c>
      <c r="G369" s="4" t="s">
        <v>147</v>
      </c>
      <c r="H369" s="4" t="s">
        <v>28</v>
      </c>
      <c r="I369" s="4" t="s">
        <v>28</v>
      </c>
      <c r="J369" s="4" t="s">
        <v>28</v>
      </c>
      <c r="K369" s="4" t="s">
        <v>729</v>
      </c>
      <c r="L369" s="4" t="s">
        <v>34</v>
      </c>
      <c r="N369" s="4" t="s">
        <v>30</v>
      </c>
      <c r="P369" s="4" t="s">
        <v>24</v>
      </c>
      <c r="Q369" s="4" t="s">
        <v>67</v>
      </c>
      <c r="R369" s="3" t="s">
        <v>730</v>
      </c>
      <c r="S369" s="5"/>
      <c r="T369" s="4" t="s">
        <v>28</v>
      </c>
      <c r="U369" s="4">
        <v>4</v>
      </c>
      <c r="V369" s="17" t="s">
        <v>731</v>
      </c>
    </row>
    <row r="370" spans="1:22" s="4" customFormat="1" ht="16.5">
      <c r="A370" s="4" t="str">
        <f t="shared" si="9"/>
        <v>GL-0369</v>
      </c>
      <c r="B370" s="16" t="s">
        <v>732</v>
      </c>
      <c r="C370" s="4" t="s">
        <v>23</v>
      </c>
      <c r="E370" s="4" t="s">
        <v>136</v>
      </c>
      <c r="F370" s="4" t="s">
        <v>114</v>
      </c>
      <c r="G370" s="4" t="s">
        <v>147</v>
      </c>
      <c r="H370" s="4" t="s">
        <v>28</v>
      </c>
      <c r="I370" s="4" t="s">
        <v>28</v>
      </c>
      <c r="J370" s="4" t="s">
        <v>28</v>
      </c>
      <c r="K370" s="4" t="s">
        <v>729</v>
      </c>
      <c r="L370" s="4" t="s">
        <v>28</v>
      </c>
      <c r="N370" s="4" t="s">
        <v>94</v>
      </c>
      <c r="P370" s="4" t="s">
        <v>24</v>
      </c>
      <c r="Q370" s="4" t="s">
        <v>67</v>
      </c>
      <c r="R370" s="5" t="s">
        <v>733</v>
      </c>
      <c r="S370" s="3" t="s">
        <v>734</v>
      </c>
      <c r="T370" s="4" t="s">
        <v>28</v>
      </c>
      <c r="U370" s="4">
        <v>4</v>
      </c>
      <c r="V370" s="17" t="s">
        <v>735</v>
      </c>
    </row>
    <row r="371" spans="1:22" s="4" customFormat="1" ht="16.5">
      <c r="A371" s="4" t="str">
        <f t="shared" si="9"/>
        <v>GL-0370</v>
      </c>
      <c r="B371" s="16" t="s">
        <v>736</v>
      </c>
      <c r="C371" s="4" t="s">
        <v>23</v>
      </c>
      <c r="E371" s="4" t="s">
        <v>136</v>
      </c>
      <c r="F371" s="4" t="s">
        <v>38</v>
      </c>
      <c r="G371" s="4" t="s">
        <v>147</v>
      </c>
      <c r="H371" s="4" t="s">
        <v>28</v>
      </c>
      <c r="I371" s="4" t="s">
        <v>28</v>
      </c>
      <c r="J371" s="4" t="s">
        <v>28</v>
      </c>
      <c r="K371" s="4" t="s">
        <v>729</v>
      </c>
      <c r="L371" s="4" t="s">
        <v>34</v>
      </c>
      <c r="N371" s="4" t="s">
        <v>41</v>
      </c>
      <c r="P371" s="4" t="s">
        <v>38</v>
      </c>
      <c r="Q371" s="4" t="s">
        <v>46</v>
      </c>
      <c r="R371" s="5" t="s">
        <v>726</v>
      </c>
      <c r="S371" s="5"/>
      <c r="T371" s="4" t="s">
        <v>28</v>
      </c>
      <c r="U371" s="4">
        <v>4</v>
      </c>
      <c r="V371" s="17" t="s">
        <v>737</v>
      </c>
    </row>
    <row r="372" spans="1:22" s="4" customFormat="1" ht="16.5">
      <c r="A372" s="4" t="str">
        <f t="shared" si="9"/>
        <v>GL-0371</v>
      </c>
      <c r="B372" s="16" t="s">
        <v>738</v>
      </c>
      <c r="C372" s="4" t="s">
        <v>23</v>
      </c>
      <c r="E372" s="4" t="s">
        <v>136</v>
      </c>
      <c r="F372" s="4" t="s">
        <v>109</v>
      </c>
      <c r="G372" s="4" t="s">
        <v>147</v>
      </c>
      <c r="H372" s="4" t="s">
        <v>28</v>
      </c>
      <c r="I372" s="4" t="s">
        <v>28</v>
      </c>
      <c r="J372" s="4" t="s">
        <v>28</v>
      </c>
      <c r="K372" s="4" t="s">
        <v>729</v>
      </c>
      <c r="L372" s="4" t="s">
        <v>28</v>
      </c>
      <c r="N372" s="4" t="s">
        <v>39</v>
      </c>
      <c r="P372" s="4" t="s">
        <v>201</v>
      </c>
      <c r="Q372" s="4" t="s">
        <v>739</v>
      </c>
      <c r="R372" s="5" t="s">
        <v>726</v>
      </c>
      <c r="S372" s="5"/>
      <c r="T372" s="4" t="s">
        <v>28</v>
      </c>
      <c r="U372" s="4">
        <v>4</v>
      </c>
      <c r="V372" s="17" t="s">
        <v>740</v>
      </c>
    </row>
    <row r="373" spans="1:22" s="4" customFormat="1" ht="16.5">
      <c r="A373" s="4" t="str">
        <f t="shared" si="9"/>
        <v>GL-0372</v>
      </c>
      <c r="B373" s="16" t="s">
        <v>741</v>
      </c>
      <c r="C373" s="4" t="s">
        <v>23</v>
      </c>
      <c r="E373" s="4" t="s">
        <v>136</v>
      </c>
      <c r="F373" s="4" t="s">
        <v>114</v>
      </c>
      <c r="G373" s="4" t="s">
        <v>147</v>
      </c>
      <c r="H373" s="4" t="s">
        <v>28</v>
      </c>
      <c r="I373" s="4" t="s">
        <v>28</v>
      </c>
      <c r="J373" s="4" t="s">
        <v>28</v>
      </c>
      <c r="K373" s="4" t="s">
        <v>729</v>
      </c>
      <c r="L373" s="4" t="s">
        <v>34</v>
      </c>
      <c r="N373" s="4" t="s">
        <v>30</v>
      </c>
      <c r="P373" s="4" t="s">
        <v>24</v>
      </c>
      <c r="Q373" s="4" t="s">
        <v>62</v>
      </c>
      <c r="R373" s="3" t="s">
        <v>730</v>
      </c>
      <c r="S373" s="5"/>
      <c r="T373" s="4" t="s">
        <v>28</v>
      </c>
      <c r="U373" s="4">
        <v>4</v>
      </c>
      <c r="V373" s="17" t="s">
        <v>742</v>
      </c>
    </row>
    <row r="374" spans="1:22" s="4" customFormat="1" ht="16.5">
      <c r="A374" s="4" t="str">
        <f t="shared" si="9"/>
        <v>GL-0373</v>
      </c>
      <c r="B374" s="16" t="s">
        <v>743</v>
      </c>
      <c r="C374" s="4" t="s">
        <v>23</v>
      </c>
      <c r="E374" s="4" t="s">
        <v>136</v>
      </c>
      <c r="F374" s="4" t="s">
        <v>109</v>
      </c>
      <c r="G374" s="4" t="s">
        <v>147</v>
      </c>
      <c r="H374" s="4" t="s">
        <v>28</v>
      </c>
      <c r="I374" s="4" t="s">
        <v>28</v>
      </c>
      <c r="J374" s="4" t="s">
        <v>28</v>
      </c>
      <c r="K374" s="4" t="s">
        <v>729</v>
      </c>
      <c r="L374" s="4" t="s">
        <v>34</v>
      </c>
      <c r="N374" s="4" t="s">
        <v>30</v>
      </c>
      <c r="P374" s="4" t="s">
        <v>24</v>
      </c>
      <c r="Q374" s="4" t="s">
        <v>62</v>
      </c>
      <c r="R374" s="3" t="s">
        <v>730</v>
      </c>
      <c r="S374" s="5"/>
      <c r="T374" s="4" t="s">
        <v>28</v>
      </c>
      <c r="U374" s="4">
        <v>4</v>
      </c>
      <c r="V374" s="17" t="s">
        <v>744</v>
      </c>
    </row>
    <row r="375" spans="1:22" s="4" customFormat="1" ht="16.5">
      <c r="A375" s="4" t="str">
        <f t="shared" si="9"/>
        <v>GL-0374</v>
      </c>
      <c r="B375" s="16" t="s">
        <v>745</v>
      </c>
      <c r="C375" s="4" t="s">
        <v>23</v>
      </c>
      <c r="E375" s="4" t="s">
        <v>136</v>
      </c>
      <c r="F375" s="4" t="s">
        <v>109</v>
      </c>
      <c r="G375" s="4" t="s">
        <v>147</v>
      </c>
      <c r="H375" s="4" t="s">
        <v>28</v>
      </c>
      <c r="I375" s="4" t="s">
        <v>28</v>
      </c>
      <c r="J375" s="4" t="s">
        <v>28</v>
      </c>
      <c r="K375" s="4" t="s">
        <v>729</v>
      </c>
      <c r="L375" s="4" t="s">
        <v>34</v>
      </c>
      <c r="N375" s="4" t="s">
        <v>30</v>
      </c>
      <c r="P375" s="4" t="s">
        <v>24</v>
      </c>
      <c r="Q375" s="4" t="s">
        <v>62</v>
      </c>
      <c r="R375" s="3" t="s">
        <v>730</v>
      </c>
      <c r="S375" s="3" t="s">
        <v>746</v>
      </c>
      <c r="T375" s="4" t="s">
        <v>28</v>
      </c>
      <c r="U375" s="4">
        <v>4</v>
      </c>
      <c r="V375" s="17" t="s">
        <v>747</v>
      </c>
    </row>
    <row r="376" spans="1:22" s="4" customFormat="1" ht="16.5">
      <c r="A376" s="4" t="str">
        <f t="shared" si="9"/>
        <v>GL-0375</v>
      </c>
      <c r="B376" s="4" t="s">
        <v>748</v>
      </c>
      <c r="C376" s="4" t="s">
        <v>23</v>
      </c>
      <c r="D376" s="4" t="s">
        <v>24</v>
      </c>
      <c r="E376" s="4" t="s">
        <v>25</v>
      </c>
      <c r="F376" s="4" t="s">
        <v>114</v>
      </c>
      <c r="G376" s="4" t="s">
        <v>27</v>
      </c>
      <c r="H376" s="4" t="s">
        <v>28</v>
      </c>
      <c r="I376" s="4" t="s">
        <v>28</v>
      </c>
      <c r="J376" s="4" t="s">
        <v>28</v>
      </c>
      <c r="K376" s="4" t="s">
        <v>29</v>
      </c>
      <c r="L376" s="4" t="s">
        <v>34</v>
      </c>
      <c r="N376" s="4" t="s">
        <v>41</v>
      </c>
      <c r="P376" s="4" t="s">
        <v>24</v>
      </c>
      <c r="Q376" s="4" t="s">
        <v>67</v>
      </c>
      <c r="T376" s="4" t="s">
        <v>34</v>
      </c>
      <c r="U376" s="4">
        <v>3</v>
      </c>
      <c r="V376" s="17" t="s">
        <v>749</v>
      </c>
    </row>
    <row r="377" spans="1:22">
      <c r="B377" t="s">
        <v>750</v>
      </c>
      <c r="C377" t="s">
        <v>37</v>
      </c>
      <c r="F377" t="s">
        <v>67</v>
      </c>
      <c r="G377" t="s">
        <v>751</v>
      </c>
      <c r="H377" t="s">
        <v>34</v>
      </c>
      <c r="I377" t="s">
        <v>28</v>
      </c>
      <c r="J377" t="s">
        <v>28</v>
      </c>
      <c r="K377" t="s">
        <v>752</v>
      </c>
      <c r="L377" t="s">
        <v>34</v>
      </c>
      <c r="N377" t="s">
        <v>41</v>
      </c>
      <c r="R377" s="3" t="s">
        <v>753</v>
      </c>
      <c r="S377" s="3"/>
      <c r="T377" t="s">
        <v>28</v>
      </c>
      <c r="U377">
        <v>3</v>
      </c>
    </row>
    <row r="378" spans="1:22">
      <c r="B378" t="s">
        <v>754</v>
      </c>
      <c r="C378" t="s">
        <v>37</v>
      </c>
      <c r="F378" t="s">
        <v>67</v>
      </c>
      <c r="G378" t="s">
        <v>751</v>
      </c>
      <c r="H378" t="s">
        <v>34</v>
      </c>
      <c r="I378" t="s">
        <v>28</v>
      </c>
      <c r="J378" t="s">
        <v>28</v>
      </c>
      <c r="K378" t="s">
        <v>752</v>
      </c>
      <c r="L378" t="s">
        <v>34</v>
      </c>
      <c r="N378" t="s">
        <v>41</v>
      </c>
      <c r="R378" s="3" t="s">
        <v>755</v>
      </c>
      <c r="S378" s="3"/>
      <c r="T378" t="s">
        <v>28</v>
      </c>
      <c r="U378">
        <v>3</v>
      </c>
    </row>
    <row r="379" spans="1:22">
      <c r="B379" t="s">
        <v>756</v>
      </c>
      <c r="C379" t="s">
        <v>37</v>
      </c>
      <c r="F379" t="s">
        <v>67</v>
      </c>
      <c r="G379" t="s">
        <v>751</v>
      </c>
      <c r="H379" t="s">
        <v>34</v>
      </c>
      <c r="I379" t="s">
        <v>28</v>
      </c>
      <c r="J379" t="s">
        <v>28</v>
      </c>
      <c r="K379" t="s">
        <v>752</v>
      </c>
      <c r="L379" t="s">
        <v>34</v>
      </c>
      <c r="N379" t="s">
        <v>41</v>
      </c>
      <c r="R379" s="3" t="s">
        <v>757</v>
      </c>
      <c r="S379" s="3"/>
      <c r="T379" t="s">
        <v>28</v>
      </c>
      <c r="U379">
        <v>3</v>
      </c>
    </row>
    <row r="380" spans="1:22">
      <c r="B380" t="s">
        <v>758</v>
      </c>
      <c r="C380" t="s">
        <v>37</v>
      </c>
      <c r="F380" t="s">
        <v>67</v>
      </c>
      <c r="G380" t="s">
        <v>161</v>
      </c>
      <c r="H380" t="s">
        <v>34</v>
      </c>
      <c r="I380" t="s">
        <v>28</v>
      </c>
      <c r="J380" t="s">
        <v>28</v>
      </c>
      <c r="K380" t="s">
        <v>752</v>
      </c>
      <c r="L380" t="s">
        <v>28</v>
      </c>
      <c r="N380" t="s">
        <v>30</v>
      </c>
      <c r="R380" s="3" t="s">
        <v>759</v>
      </c>
      <c r="S380" s="3"/>
      <c r="T380" t="s">
        <v>28</v>
      </c>
      <c r="U380">
        <v>4</v>
      </c>
    </row>
    <row r="381" spans="1:22">
      <c r="B381" t="s">
        <v>760</v>
      </c>
      <c r="C381" t="s">
        <v>37</v>
      </c>
      <c r="F381" t="s">
        <v>277</v>
      </c>
      <c r="G381" t="s">
        <v>751</v>
      </c>
      <c r="H381" t="s">
        <v>34</v>
      </c>
      <c r="I381" t="s">
        <v>28</v>
      </c>
      <c r="J381" t="s">
        <v>28</v>
      </c>
      <c r="K381" t="s">
        <v>752</v>
      </c>
      <c r="L381" t="s">
        <v>28</v>
      </c>
      <c r="M381" t="s">
        <v>761</v>
      </c>
      <c r="N381" t="s">
        <v>39</v>
      </c>
      <c r="R381" s="3" t="s">
        <v>762</v>
      </c>
      <c r="S381" s="3"/>
      <c r="T381" t="s">
        <v>28</v>
      </c>
      <c r="U381">
        <v>3</v>
      </c>
    </row>
    <row r="382" spans="1:22">
      <c r="B382" t="s">
        <v>763</v>
      </c>
      <c r="C382" t="s">
        <v>37</v>
      </c>
      <c r="F382" t="s">
        <v>277</v>
      </c>
      <c r="G382" t="s">
        <v>751</v>
      </c>
      <c r="H382" t="s">
        <v>34</v>
      </c>
      <c r="I382" t="s">
        <v>28</v>
      </c>
      <c r="J382" t="s">
        <v>28</v>
      </c>
      <c r="K382" t="s">
        <v>752</v>
      </c>
      <c r="L382" t="s">
        <v>28</v>
      </c>
      <c r="M382" t="s">
        <v>761</v>
      </c>
      <c r="N382" t="s">
        <v>39</v>
      </c>
      <c r="R382" s="3" t="s">
        <v>764</v>
      </c>
      <c r="S382" s="3"/>
      <c r="T382" t="s">
        <v>28</v>
      </c>
      <c r="U382">
        <v>3</v>
      </c>
    </row>
    <row r="383" spans="1:22">
      <c r="B383" t="s">
        <v>765</v>
      </c>
      <c r="C383" t="s">
        <v>37</v>
      </c>
      <c r="F383" t="s">
        <v>114</v>
      </c>
      <c r="G383" t="s">
        <v>161</v>
      </c>
      <c r="H383" t="s">
        <v>34</v>
      </c>
      <c r="I383" t="s">
        <v>28</v>
      </c>
      <c r="J383" t="s">
        <v>34</v>
      </c>
      <c r="K383" t="s">
        <v>766</v>
      </c>
      <c r="L383" t="s">
        <v>34</v>
      </c>
      <c r="N383" t="s">
        <v>39</v>
      </c>
    </row>
  </sheetData>
  <autoFilter ref="B1:W383" xr:uid="{00000000-0009-0000-0000-000000000000}">
    <filterColumn colId="0">
      <colorFilter dxfId="9"/>
    </filterColumn>
    <sortState xmlns:xlrd2="http://schemas.microsoft.com/office/spreadsheetml/2017/richdata2" ref="B2:W383">
      <sortCondition sortBy="cellColor" ref="B1" dxfId="10"/>
    </sortState>
  </autoFilter>
  <dataValidations count="1">
    <dataValidation allowBlank="1" showInputMessage="1" showErrorMessage="1" sqref="J1" xr:uid="{2005A282-A29B-421F-9235-BD1B8E8EBA87}"/>
  </dataValidations>
  <hyperlinks>
    <hyperlink ref="R357" r:id="rId1" xr:uid="{81B1B3AD-A299-4B06-A581-58BFACE34D54}"/>
    <hyperlink ref="R72" r:id="rId2" xr:uid="{EB67010B-B657-4ADF-9C73-FCE2C1EBB3A5}"/>
    <hyperlink ref="R64" r:id="rId3" xr:uid="{08FEE12F-EA87-412C-A4F2-BC1B732B34F6}"/>
    <hyperlink ref="R14" r:id="rId4" xr:uid="{7FDE11EC-7FD3-4B59-BE81-5DE6D8121777}"/>
    <hyperlink ref="R69" r:id="rId5" xr:uid="{AE44841D-75C4-4484-87C1-0DF7DE047EE6}"/>
    <hyperlink ref="R70" r:id="rId6" xr:uid="{9E6D0BDC-4F6D-4ACD-AC97-92D163967D3F}"/>
    <hyperlink ref="R73" r:id="rId7" xr:uid="{838FB435-348D-4546-BA68-890075AE5166}"/>
    <hyperlink ref="R51" r:id="rId8" xr:uid="{F80C5E21-D022-4C30-B63B-125BE337C893}"/>
    <hyperlink ref="R52" r:id="rId9" xr:uid="{B27A893E-B7CE-4943-8102-841A7BECDD49}"/>
    <hyperlink ref="R58" r:id="rId10" xr:uid="{5C52DE22-20E2-465F-B967-5FF2C0DF7523}"/>
    <hyperlink ref="R59" r:id="rId11" xr:uid="{7C702DD0-51F8-468D-B1C5-B88F35FC2174}"/>
    <hyperlink ref="R50" r:id="rId12" xr:uid="{7B477E08-D583-44BD-80A0-F85F9D3DB500}"/>
    <hyperlink ref="R48" r:id="rId13" xr:uid="{8BE5160E-0529-4483-879E-CEA83AABB6E2}"/>
    <hyperlink ref="R61" r:id="rId14" xr:uid="{B93D0469-2084-4C46-A5F9-16FB8901D372}"/>
    <hyperlink ref="R113" r:id="rId15" xr:uid="{937B4A02-79BB-422F-9DA1-A0A8F6E31A93}"/>
    <hyperlink ref="R65" r:id="rId16" xr:uid="{7570DB50-C1BD-48F4-858B-019FDF061AE5}"/>
    <hyperlink ref="R49" r:id="rId17" xr:uid="{DE434701-6C3F-4A16-BA07-A074E3D7E7D0}"/>
    <hyperlink ref="R62" r:id="rId18" xr:uid="{0686A7DF-DE50-4000-958C-C423CE61A64E}"/>
    <hyperlink ref="R360" r:id="rId19" xr:uid="{4221DAD4-1A1F-4247-8847-7D54AEC6C612}"/>
    <hyperlink ref="R361" r:id="rId20" xr:uid="{0A068B22-CEFC-41C1-83A6-976D5D4CAD60}"/>
    <hyperlink ref="R345" r:id="rId21" xr:uid="{F750A81B-A7D6-4647-A513-0E798C1BCBD6}"/>
    <hyperlink ref="R25" r:id="rId22" xr:uid="{C2826669-A947-41B8-957C-DF211E67C30B}"/>
    <hyperlink ref="R13" r:id="rId23" xr:uid="{E0E5AEDE-5D0F-4DDD-8EDB-7C03696419E9}"/>
    <hyperlink ref="R23" r:id="rId24" xr:uid="{C63BC916-20E6-4942-A0FA-983C4EB4AB1C}"/>
    <hyperlink ref="R10" r:id="rId25" xr:uid="{7461A4E6-3D61-43BD-BBF0-F4136E688FD9}"/>
    <hyperlink ref="R16" r:id="rId26" xr:uid="{577B152C-224C-4048-92CB-294DDF40F042}"/>
    <hyperlink ref="R19" r:id="rId27" xr:uid="{755ACF88-476E-484C-AA5C-E964DDC8750B}"/>
    <hyperlink ref="R8" r:id="rId28" xr:uid="{50D61A94-43EF-4D06-8E45-F6DA04F37D5A}"/>
    <hyperlink ref="R288" r:id="rId29" xr:uid="{E5E5E7BD-FF4E-4903-877C-AB2437BAC9D5}"/>
    <hyperlink ref="R289" r:id="rId30" xr:uid="{60EE65D6-0A2C-4538-A44D-2B6208E49E53}"/>
    <hyperlink ref="R290" r:id="rId31" xr:uid="{9DF37539-493A-4CEF-9C91-F4F320274FE1}"/>
    <hyperlink ref="R291" r:id="rId32" xr:uid="{B15A24E3-7FCD-452C-841D-C91FB77E518F}"/>
    <hyperlink ref="R292" r:id="rId33" xr:uid="{75A4133E-B073-4F9F-A19B-AB6986D377A8}"/>
    <hyperlink ref="R293" r:id="rId34" xr:uid="{3248D35D-A2D2-4656-9C4A-09DA094D276B}"/>
    <hyperlink ref="R294" r:id="rId35" xr:uid="{9BFDF24D-AB82-4657-98DC-737F464FEF05}"/>
    <hyperlink ref="R295" r:id="rId36" xr:uid="{E2087384-E289-4FF6-9DA5-8FA72A4ED3C3}"/>
    <hyperlink ref="R296" r:id="rId37" xr:uid="{EBA78BA1-7AF8-464D-90DF-792E12BFB515}"/>
    <hyperlink ref="R297" r:id="rId38" xr:uid="{E72187CC-0FE8-41AA-AED5-0E243F502767}"/>
    <hyperlink ref="R300" r:id="rId39" xr:uid="{2769085A-FE0E-4D48-A70B-40730C5785B4}"/>
    <hyperlink ref="R301" r:id="rId40" xr:uid="{C2743F96-8181-44DA-BFA3-45105CD81107}"/>
    <hyperlink ref="R302" r:id="rId41" xr:uid="{80D271A2-8EAD-464C-829E-C12645DD40F2}"/>
    <hyperlink ref="R303" r:id="rId42" xr:uid="{0E07AC20-8903-4298-98A7-55A69E0B0399}"/>
    <hyperlink ref="R304" r:id="rId43" xr:uid="{8E32B3FF-0DC6-4A32-ABC5-0CD8F13E22AD}"/>
    <hyperlink ref="R307" r:id="rId44" xr:uid="{EE0AF3F5-B120-4774-83DC-B2AF683389EA}"/>
    <hyperlink ref="R114" r:id="rId45" xr:uid="{BCF84847-7928-4074-8CC8-3A3C027E5EB0}"/>
    <hyperlink ref="R22" r:id="rId46" xr:uid="{B8EC6E0B-F30A-4957-85D4-4F7CD5558FEF}"/>
    <hyperlink ref="R33" r:id="rId47" xr:uid="{BFCB96F9-6568-41DD-9361-821B2E73BAA1}"/>
    <hyperlink ref="R34" r:id="rId48" xr:uid="{DFD869BA-8E2F-4076-BB9D-3D3FC2974225}"/>
    <hyperlink ref="R35" r:id="rId49" xr:uid="{9BD00347-ADF2-42F2-8DE5-1A7F0E01D564}"/>
    <hyperlink ref="R47" r:id="rId50" xr:uid="{A8747C5C-B463-44FB-B998-77A7E244FC9F}"/>
    <hyperlink ref="R46" r:id="rId51" xr:uid="{BBDA36F3-1A9A-42E2-8372-BC8C2FD38178}"/>
    <hyperlink ref="R36" r:id="rId52" xr:uid="{BA1A092A-D956-4C79-B858-8FA3B9D437E7}"/>
    <hyperlink ref="R37" r:id="rId53" xr:uid="{3840E787-92F6-4878-93C9-8CF17BDB999A}"/>
    <hyperlink ref="R38" r:id="rId54" xr:uid="{4A1A4764-76AC-41E6-BC4A-F05DC03DF8F0}"/>
    <hyperlink ref="R39" r:id="rId55" xr:uid="{E68CEB42-9460-4A4A-8875-D903795CAA6E}"/>
    <hyperlink ref="R40" r:id="rId56" xr:uid="{58E20FFB-CF4F-4DBC-B054-698C92991A2A}"/>
    <hyperlink ref="R41" r:id="rId57" xr:uid="{B4CD43DF-7CD2-4EBE-A365-A39B7704D282}"/>
    <hyperlink ref="R42" r:id="rId58" xr:uid="{8B862CC6-6ECD-401F-8E00-FEC38AAE0A76}"/>
    <hyperlink ref="R43" r:id="rId59" xr:uid="{7157F620-71BC-40C6-9D4B-6C16E16BF34E}"/>
    <hyperlink ref="R44" r:id="rId60" xr:uid="{FF37F03B-D37F-4CCB-8474-09B211514DAE}"/>
    <hyperlink ref="R123" r:id="rId61" xr:uid="{CCC7D209-F7D7-4862-BA71-98A73DDD7FE7}"/>
    <hyperlink ref="R346" r:id="rId62" xr:uid="{8724E1EE-8BBB-4E6D-ADBF-EDFDDCEB73E8}"/>
    <hyperlink ref="R366" r:id="rId63" xr:uid="{8D12362A-4464-41EE-AE02-E2A8ABA8980E}"/>
    <hyperlink ref="R367" r:id="rId64" xr:uid="{6C3432F0-033F-4ACF-A6FE-BEF6987D02A3}"/>
    <hyperlink ref="R368" r:id="rId65" xr:uid="{939342D2-606E-4320-9B98-23F119D02425}"/>
    <hyperlink ref="R371" r:id="rId66" xr:uid="{47EC84F1-DD48-4937-B58F-E5EBC16426EB}"/>
    <hyperlink ref="R372" r:id="rId67" xr:uid="{411DA830-8A2A-430A-BBAE-B3193E02E904}"/>
    <hyperlink ref="R370" r:id="rId68" xr:uid="{36814F8B-EDEA-4FC4-9B70-A7D0BD28164A}"/>
    <hyperlink ref="R6" r:id="rId69" xr:uid="{3A00B3E2-1816-4109-ABB8-D79239DA361B}"/>
    <hyperlink ref="R348" r:id="rId70" xr:uid="{34DA3CE6-E7F1-4AA4-8030-CBAF8D0A3041}"/>
    <hyperlink ref="R112" r:id="rId71" xr:uid="{5A48BCD4-98CF-41ED-8CFB-C0AB36362833}"/>
    <hyperlink ref="R110" r:id="rId72" xr:uid="{2AE54F17-E3CE-4D75-9D42-DABF8066636A}"/>
    <hyperlink ref="R109" r:id="rId73" xr:uid="{82546F6C-5227-487E-B5F8-1DC1AEBED58C}"/>
    <hyperlink ref="R377" r:id="rId74" xr:uid="{3F251E20-8B6E-4DA1-B4E4-E467C5CAD9C6}"/>
    <hyperlink ref="R378" r:id="rId75" xr:uid="{504C098B-3EA9-4C79-A7F4-46DBF13F7F73}"/>
    <hyperlink ref="R379" r:id="rId76" xr:uid="{181E57BE-367D-4508-8CDD-ABA2BF326E39}"/>
    <hyperlink ref="R380" r:id="rId77" xr:uid="{D4F11F34-3847-47C8-9E1A-9A98DCB39F41}"/>
    <hyperlink ref="R381" r:id="rId78" xr:uid="{F7E0E4E2-4F69-4A93-84B7-3739BE90F2F9}"/>
    <hyperlink ref="R382" r:id="rId79" xr:uid="{6F0F102B-C46D-4AD1-89C1-5A719714D281}"/>
    <hyperlink ref="R322" r:id="rId80" xr:uid="{AA37086D-9474-4189-8C6C-9EC85620CDB1}"/>
    <hyperlink ref="R323" r:id="rId81" xr:uid="{2BDA4496-DD9B-44F7-8C23-5B98DEC45241}"/>
    <hyperlink ref="R324" r:id="rId82" xr:uid="{092143B8-9788-4738-91C8-8D61D27C25A6}"/>
    <hyperlink ref="R325" r:id="rId83" xr:uid="{DC4606B4-FFF8-45C3-A7D5-7EB89E1BCC84}"/>
    <hyperlink ref="R326" r:id="rId84" xr:uid="{086AF71A-594C-4A59-A291-D68090CFDB43}"/>
    <hyperlink ref="R327" r:id="rId85" xr:uid="{8E7EF4D4-71D9-4D02-BF67-929DE50EF87C}"/>
    <hyperlink ref="R329" r:id="rId86" xr:uid="{308E2BB2-CFBF-4336-9D8D-BF069BA3A1AD}"/>
    <hyperlink ref="R30" r:id="rId87" xr:uid="{6C0FDF6B-4719-42E0-8A5F-04FC04F66F67}"/>
    <hyperlink ref="S30" r:id="rId88" xr:uid="{B14CB87A-67D0-4D4A-89EB-06DD0F160371}"/>
    <hyperlink ref="R45" r:id="rId89" xr:uid="{73A282E3-5B76-4745-A6D4-5B8879339F2D}"/>
    <hyperlink ref="S45" r:id="rId90" xr:uid="{92AB3B48-E5E4-4571-A55B-AE2BE00C4916}"/>
    <hyperlink ref="S49" r:id="rId91" xr:uid="{DD8AE793-544D-4F16-831B-687193DD7F1C}"/>
    <hyperlink ref="S50" r:id="rId92" xr:uid="{4E4F4332-418E-46EC-B269-08EC530942AB}"/>
    <hyperlink ref="S59" r:id="rId93" xr:uid="{73EB2FC2-A81E-479F-85B7-5D3E3D564585}"/>
    <hyperlink ref="S60" r:id="rId94" xr:uid="{B0E87049-84EC-4228-A32B-006206D0DD5F}"/>
    <hyperlink ref="R60" r:id="rId95" xr:uid="{D3AE71CB-BC85-4A51-BAFF-4A62BD964A5B}"/>
    <hyperlink ref="R63" r:id="rId96" xr:uid="{A2323AAF-7D40-44D6-977D-CC234C89395B}"/>
    <hyperlink ref="S63" r:id="rId97" xr:uid="{B9D00808-8672-4A00-AD23-C5E6F7F97F28}"/>
    <hyperlink ref="S73" r:id="rId98" xr:uid="{1D339E00-6B68-4EF7-9099-20EABFC10F68}"/>
    <hyperlink ref="R75" r:id="rId99" xr:uid="{2C8DF386-F34B-456F-89FB-C95B3F6D61E3}"/>
    <hyperlink ref="S75" r:id="rId100" xr:uid="{93464D71-4BB8-4CD2-8F7B-3A5CA704B07C}"/>
    <hyperlink ref="R358" r:id="rId101" xr:uid="{B6F54046-0AEE-41CA-B2C0-9FA3196C5FEE}"/>
    <hyperlink ref="R369" r:id="rId102" xr:uid="{A9484DC1-F3E1-4B23-9E19-1EF2B87250F9}"/>
    <hyperlink ref="R373" r:id="rId103" xr:uid="{8545C48C-9266-417A-8248-95412E1CB979}"/>
    <hyperlink ref="R374" r:id="rId104" xr:uid="{E4AF8B30-3B2B-4EB7-8FC3-D884D68EA398}"/>
    <hyperlink ref="R375" r:id="rId105" xr:uid="{BBE5CCA3-CB9F-4B1D-A742-FDAA10D2FA94}"/>
    <hyperlink ref="S370" r:id="rId106" xr:uid="{C239B7B6-FEF6-43E9-9755-05710EC478B3}"/>
    <hyperlink ref="S375" r:id="rId107" xr:uid="{9B905FE6-0849-4A1E-8710-0CDC6BF62AD7}"/>
    <hyperlink ref="S13" r:id="rId108" xr:uid="{C4C045C0-6643-49AA-BCAF-9FD32C4C2AF9}"/>
    <hyperlink ref="R15" r:id="rId109" xr:uid="{57B6827F-11CB-4A1C-9138-A4FA55002596}"/>
    <hyperlink ref="R17" r:id="rId110" xr:uid="{CCBE353E-1CEC-43DE-883D-2335FBEF7933}"/>
    <hyperlink ref="R18" r:id="rId111" xr:uid="{1EADDF8D-018A-415F-89CF-671997EF801E}"/>
    <hyperlink ref="S20" r:id="rId112" xr:uid="{A494FFEB-9AE1-4764-B549-FADA48DF0643}"/>
    <hyperlink ref="R20" r:id="rId113" xr:uid="{E1C99FF6-D809-4C6B-8B86-C1A673970E37}"/>
    <hyperlink ref="R2" r:id="rId114" xr:uid="{372943F4-6325-4CA3-9CEC-C3677F66B376}"/>
    <hyperlink ref="S2" r:id="rId115" xr:uid="{F34B4920-6C9A-45D8-98CF-C137169F3C71}"/>
    <hyperlink ref="S7" r:id="rId116" xr:uid="{F96CA0C3-5F65-4433-9313-B520C40B6BD0}"/>
    <hyperlink ref="R7" r:id="rId117" xr:uid="{FE896583-0649-4EC3-9A46-D490F01AC339}"/>
    <hyperlink ref="S8" r:id="rId118" xr:uid="{2FC0FB52-106B-4B58-91C4-5B22DA18C75E}"/>
    <hyperlink ref="S10" r:id="rId119" xr:uid="{2CFC5443-2AFD-49C6-92DE-F1C40FF22889}"/>
    <hyperlink ref="S11" r:id="rId120" xr:uid="{E1D51474-FE0B-4531-B18C-AAD6FAC5D0EC}"/>
    <hyperlink ref="S12" r:id="rId121" xr:uid="{7AD8E254-40B2-41D3-B050-B09E7CDBF2B8}"/>
    <hyperlink ref="S22" r:id="rId122" xr:uid="{896AC1C3-D457-4AA1-BB8E-C9055BD8E3CC}"/>
    <hyperlink ref="S23" r:id="rId123" xr:uid="{1156DE46-6E18-4738-B2B7-5B5F0046CF99}"/>
    <hyperlink ref="S24" r:id="rId124" xr:uid="{13413B41-45C8-4BC5-9874-82A442FE729F}"/>
    <hyperlink ref="S25" r:id="rId125" xr:uid="{918F58F6-228E-48A3-8AC5-516781CD6BB3}"/>
    <hyperlink ref="R27" r:id="rId126" xr:uid="{B43CB393-A109-494E-A797-5735B39CBC75}"/>
    <hyperlink ref="R28" r:id="rId127" xr:uid="{FF2FE7EB-8793-4AAF-B486-4B35F5782A31}"/>
    <hyperlink ref="R29" r:id="rId128" xr:uid="{4BC45146-C5CF-42A8-8901-0C131D3D7279}"/>
    <hyperlink ref="S27" r:id="rId129" xr:uid="{78ABA348-8009-4C47-B4A8-648446867618}"/>
    <hyperlink ref="S28" r:id="rId130" xr:uid="{3E4B94DC-73E8-43C3-A3E2-6A2242EF3F39}"/>
    <hyperlink ref="S29" r:id="rId131" xr:uid="{DD066F03-3989-4711-9AD5-37AEF3DC51A3}"/>
    <hyperlink ref="R32" r:id="rId132" xr:uid="{FBDBCCE4-3AB2-4D13-93DF-12CAA394A1DE}"/>
    <hyperlink ref="S46" r:id="rId133" xr:uid="{AB87814B-E5BC-42C7-A37E-40A145783F12}"/>
    <hyperlink ref="S47" r:id="rId134" xr:uid="{C0476152-15C0-4BF1-A19E-065BC540B72F}"/>
    <hyperlink ref="S62" r:id="rId135" xr:uid="{D52C7D11-CDAB-4BC0-9493-EB8B6E0AD6D1}"/>
    <hyperlink ref="R71" r:id="rId136" xr:uid="{04F3D60E-27A2-4B74-8226-DB6FC4456E38}"/>
    <hyperlink ref="R74" r:id="rId137" xr:uid="{98C2AA58-C670-42D7-9B0F-6B3B8AE582BF}"/>
    <hyperlink ref="R24" r:id="rId138" xr:uid="{11D020F6-E96A-4DB9-8E57-3BC2CAEF7F3E}"/>
    <hyperlink ref="S74" r:id="rId139" xr:uid="{1BDF3EDA-CBC2-4BE9-B9F6-74B65C22E0A4}"/>
    <hyperlink ref="R359" r:id="rId140" xr:uid="{499FEA1D-99FA-480A-9B22-2D025608C546}"/>
    <hyperlink ref="S359" r:id="rId141" xr:uid="{2B698545-6811-40BF-A934-9CF0F6931002}"/>
    <hyperlink ref="S35" r:id="rId142" xr:uid="{D818B8A6-4E77-4535-8B21-177F3B172077}"/>
    <hyperlink ref="S33" r:id="rId143" xr:uid="{7F3B4D57-EB3C-438D-AD74-6A18521B21C0}"/>
    <hyperlink ref="S34" r:id="rId144" xr:uid="{32979491-9D70-448B-BE6E-D122A49B4B53}"/>
    <hyperlink ref="S36" r:id="rId145" xr:uid="{77CD433F-BBE5-4F4C-9073-592B51C71DF2}"/>
    <hyperlink ref="S37" r:id="rId146" xr:uid="{09F010FC-462C-4B5E-B2BA-DE20C69837D8}"/>
    <hyperlink ref="S38" r:id="rId147" xr:uid="{408C1386-0DCC-4477-86B8-CDD9DFAC11B4}"/>
    <hyperlink ref="S39" r:id="rId148" xr:uid="{37FBA9B0-945B-4805-A8DE-EE090C05659E}"/>
    <hyperlink ref="S40" r:id="rId149" xr:uid="{8CA6B8F4-92CF-4588-9BD7-F78AC533C6EE}"/>
    <hyperlink ref="S41" r:id="rId150" xr:uid="{27EDF888-83CE-474E-A80A-E23904BC39FC}"/>
    <hyperlink ref="S42" r:id="rId151" xr:uid="{3E78DA65-872B-44B0-A54C-CE6FCB4FC995}"/>
    <hyperlink ref="S43" r:id="rId152" xr:uid="{0CFAE3EF-6825-4455-9A2C-54422519338E}"/>
    <hyperlink ref="S44" r:id="rId153" xr:uid="{C97B2136-A299-43CD-81FA-094BFAE411CC}"/>
    <hyperlink ref="R76" r:id="rId154" xr:uid="{EF14104A-5788-46C5-B9AE-10402AB9CA85}"/>
    <hyperlink ref="R77" r:id="rId155" xr:uid="{3FB30384-73AA-4901-92BE-9E1A00A2CB41}"/>
    <hyperlink ref="R78" r:id="rId156" xr:uid="{0B97F3E7-B21C-4887-8ADD-585A14B53AD4}"/>
    <hyperlink ref="R79" r:id="rId157" xr:uid="{F6EA5AC9-3113-46EE-B0E0-0AB7E14065C2}"/>
    <hyperlink ref="S79" r:id="rId158" xr:uid="{69734639-4958-4B50-9D37-05370C0794E4}"/>
    <hyperlink ref="R80" r:id="rId159" xr:uid="{286EC0BB-00E5-410D-B3AF-260631324D13}"/>
    <hyperlink ref="S80" r:id="rId160" xr:uid="{2192F516-FF79-43E9-8D0B-B78B63E6557A}"/>
    <hyperlink ref="R81" r:id="rId161" xr:uid="{5E89C58B-9C8E-4DC8-BECC-B29AC7300E3F}"/>
    <hyperlink ref="S109" r:id="rId162" xr:uid="{CB2CABEE-497A-49AC-AE13-E067FE11CF29}"/>
    <hyperlink ref="S110" r:id="rId163" xr:uid="{4F38E9EF-7148-4992-8CD3-436FEAF26F2B}"/>
    <hyperlink ref="S112" r:id="rId164" xr:uid="{31A73688-2305-43E4-AD85-1B65617A3D67}"/>
    <hyperlink ref="S113" r:id="rId165" xr:uid="{2AAFF69D-54C5-4680-ABA2-5B0B29901BFF}"/>
    <hyperlink ref="S115" r:id="rId166" xr:uid="{CB557609-D945-4D6B-A971-2A667C4462C5}"/>
    <hyperlink ref="R115" r:id="rId167" xr:uid="{0C9E239C-215B-4A0F-A0E5-D1ADD64088ED}"/>
    <hyperlink ref="S123" r:id="rId168" xr:uid="{24150F2A-CE67-4B13-BD97-72EE8A1D5C53}"/>
    <hyperlink ref="R287" r:id="rId169" xr:uid="{E9D07D28-CFC9-4481-BAAB-C8FEFCC5D8DF}"/>
    <hyperlink ref="S316" r:id="rId170" xr:uid="{FA59F2EA-ECE6-4373-9387-0E7102054DBD}"/>
    <hyperlink ref="R316" r:id="rId171" xr:uid="{1C2826C6-51FB-4F31-A96B-E6BDF8BA1E7A}"/>
    <hyperlink ref="R286" r:id="rId172" xr:uid="{13D18948-5783-47DF-86A7-A5A51E72CA0B}"/>
    <hyperlink ref="R299" r:id="rId173" xr:uid="{392BE403-10B9-4025-AF76-CDB1C40EB770}"/>
  </hyperlinks>
  <pageMargins left="0.7" right="0.7" top="0.75" bottom="0.75" header="0.3" footer="0.3"/>
  <pageSetup paperSize="8" fitToHeight="0" orientation="landscape"/>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000-000007000000}">
          <x14:formula1>
            <xm:f>src!$K$2:$K$3</xm:f>
          </x14:formula1>
          <xm:sqref>L1:L4 H256:J1048576 L6:L57 T1:T63 L60:L1048576 T65:T1048576 H1:I255 J2:J255</xm:sqref>
        </x14:dataValidation>
        <x14:dataValidation type="list" allowBlank="1" showInputMessage="1" showErrorMessage="1" xr:uid="{00000000-0002-0000-0000-000003000000}">
          <x14:formula1>
            <xm:f>src!$E$2:$E$24</xm:f>
          </x14:formula1>
          <xm:sqref>G1:G1048576</xm:sqref>
        </x14:dataValidation>
        <x14:dataValidation type="list" allowBlank="1" showInputMessage="1" showErrorMessage="1" xr:uid="{00000000-0002-0000-0000-000000000000}">
          <x14:formula1>
            <xm:f>src!$A$2:$A$3</xm:f>
          </x14:formula1>
          <xm:sqref>C2:C1048576</xm:sqref>
        </x14:dataValidation>
        <x14:dataValidation type="list" allowBlank="1" showInputMessage="1" showErrorMessage="1" xr:uid="{00000000-0002-0000-0000-000002000000}">
          <x14:formula1>
            <xm:f>src!$C$2:$C$7</xm:f>
          </x14:formula1>
          <xm:sqref>E2:E1048576</xm:sqref>
        </x14:dataValidation>
        <x14:dataValidation type="list" allowBlank="1" showInputMessage="1" showErrorMessage="1" xr:uid="{00000000-0002-0000-0000-000004000000}">
          <x14:formula1>
            <xm:f>src!$B$2:$B$8</xm:f>
          </x14:formula1>
          <xm:sqref>D1:D1048576</xm:sqref>
        </x14:dataValidation>
        <x14:dataValidation type="list" allowBlank="1" showInputMessage="1" showErrorMessage="1" xr:uid="{00000000-0002-0000-0000-000006000000}">
          <x14:formula1>
            <xm:f>src!$F$2:$F$5</xm:f>
          </x14:formula1>
          <xm:sqref>N1:N1048576</xm:sqref>
        </x14:dataValidation>
        <x14:dataValidation type="list" allowBlank="1" showInputMessage="1" showErrorMessage="1" xr:uid="{7CE24206-905E-43B3-833F-567BA5548597}">
          <x14:formula1>
            <xm:f>src!$D$2:$D$28</xm:f>
          </x14:formula1>
          <xm:sqref>F1:F1048576</xm:sqref>
        </x14:dataValidation>
        <x14:dataValidation type="list" allowBlank="1" showInputMessage="1" showErrorMessage="1" xr:uid="{B4983F85-81A5-416D-8BC5-801DFC81EF9F}">
          <x14:formula1>
            <xm:f>src!$L$2:$L$3</xm:f>
          </x14:formula1>
          <xm:sqref>O1:O1048576</xm:sqref>
        </x14:dataValidation>
        <x14:dataValidation type="list" allowBlank="1" showInputMessage="1" showErrorMessage="1" xr:uid="{A744112E-F18D-4B8A-994A-FD91894F7A1A}">
          <x14:formula1>
            <xm:f>src!$I$2:$I$5</xm:f>
          </x14:formula1>
          <xm:sqref>P1:P1048576</xm:sqref>
        </x14:dataValidation>
        <x14:dataValidation type="list" allowBlank="1" showInputMessage="1" showErrorMessage="1" xr:uid="{91BC3F1E-E03D-4421-9452-62B5CCC3D068}">
          <x14:formula1>
            <xm:f>src!$J$2:$J$66</xm:f>
          </x14:formula1>
          <xm:sqref>Q1:Q1048576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D056E-3130-45FE-B867-DA9C2A762603}">
  <sheetPr>
    <pageSetUpPr fitToPage="1"/>
  </sheetPr>
  <dimension ref="A3:E354"/>
  <sheetViews>
    <sheetView workbookViewId="0">
      <selection activeCell="C30" sqref="C30"/>
    </sheetView>
  </sheetViews>
  <sheetFormatPr defaultRowHeight="15"/>
  <cols>
    <col min="1" max="1" width="19" bestFit="1" customWidth="1"/>
    <col min="2" max="2" width="32.85546875" customWidth="1"/>
    <col min="3" max="3" width="19.28515625" style="12" customWidth="1"/>
    <col min="4" max="4" width="17.7109375" bestFit="1" customWidth="1"/>
    <col min="5" max="5" width="13.5703125" customWidth="1"/>
    <col min="6" max="6" width="13.5703125" bestFit="1" customWidth="1"/>
    <col min="7" max="7" width="36" bestFit="1" customWidth="1"/>
    <col min="8" max="8" width="33.140625" bestFit="1" customWidth="1"/>
    <col min="9" max="9" width="12.5703125" bestFit="1" customWidth="1"/>
    <col min="10" max="10" width="14.28515625" bestFit="1" customWidth="1"/>
    <col min="11" max="11" width="15.85546875" bestFit="1" customWidth="1"/>
    <col min="12" max="12" width="19.85546875" bestFit="1" customWidth="1"/>
    <col min="13" max="13" width="22.5703125" bestFit="1" customWidth="1"/>
    <col min="14" max="14" width="43.140625" bestFit="1" customWidth="1"/>
    <col min="15" max="15" width="9.42578125" bestFit="1" customWidth="1"/>
    <col min="16" max="16" width="35.5703125" bestFit="1" customWidth="1"/>
    <col min="17" max="17" width="29.85546875" bestFit="1" customWidth="1"/>
    <col min="18" max="18" width="16.5703125" bestFit="1" customWidth="1"/>
    <col min="19" max="19" width="18.140625" bestFit="1" customWidth="1"/>
    <col min="20" max="20" width="27.28515625" bestFit="1" customWidth="1"/>
    <col min="21" max="21" width="88" bestFit="1" customWidth="1"/>
    <col min="22" max="22" width="21.85546875" bestFit="1" customWidth="1"/>
    <col min="23" max="23" width="9.85546875" bestFit="1" customWidth="1"/>
    <col min="24" max="24" width="19" bestFit="1" customWidth="1"/>
    <col min="25" max="25" width="22.5703125" bestFit="1" customWidth="1"/>
    <col min="26" max="26" width="30" bestFit="1" customWidth="1"/>
    <col min="27" max="27" width="18.85546875" bestFit="1" customWidth="1"/>
    <col min="28" max="28" width="8.28515625" bestFit="1" customWidth="1"/>
    <col min="29" max="29" width="11.85546875" bestFit="1" customWidth="1"/>
    <col min="30" max="30" width="25.85546875" bestFit="1" customWidth="1"/>
    <col min="31" max="31" width="20.42578125" bestFit="1" customWidth="1"/>
    <col min="32" max="32" width="17.42578125" bestFit="1" customWidth="1"/>
    <col min="33" max="33" width="35" bestFit="1" customWidth="1"/>
    <col min="34" max="34" width="35.42578125" bestFit="1" customWidth="1"/>
    <col min="35" max="35" width="14.42578125" bestFit="1" customWidth="1"/>
    <col min="36" max="36" width="19" bestFit="1" customWidth="1"/>
    <col min="37" max="37" width="9.7109375" bestFit="1" customWidth="1"/>
    <col min="38" max="38" width="19.42578125" bestFit="1" customWidth="1"/>
    <col min="39" max="39" width="10" bestFit="1" customWidth="1"/>
    <col min="40" max="40" width="11.28515625" bestFit="1" customWidth="1"/>
    <col min="41" max="41" width="15.5703125" bestFit="1" customWidth="1"/>
    <col min="42" max="42" width="29.28515625" bestFit="1" customWidth="1"/>
    <col min="43" max="43" width="22.7109375" bestFit="1" customWidth="1"/>
    <col min="44" max="44" width="28.140625" bestFit="1" customWidth="1"/>
    <col min="45" max="45" width="17" bestFit="1" customWidth="1"/>
    <col min="46" max="46" width="22.28515625" bestFit="1" customWidth="1"/>
    <col min="47" max="47" width="17.140625" bestFit="1" customWidth="1"/>
    <col min="48" max="48" width="6.42578125" bestFit="1" customWidth="1"/>
    <col min="49" max="49" width="25" bestFit="1" customWidth="1"/>
    <col min="50" max="50" width="16.28515625" bestFit="1" customWidth="1"/>
    <col min="51" max="51" width="16" bestFit="1" customWidth="1"/>
    <col min="52" max="52" width="21" bestFit="1" customWidth="1"/>
    <col min="53" max="53" width="32.42578125" bestFit="1" customWidth="1"/>
    <col min="54" max="54" width="23.28515625" bestFit="1" customWidth="1"/>
    <col min="55" max="55" width="31.7109375" bestFit="1" customWidth="1"/>
    <col min="56" max="56" width="30.42578125" bestFit="1" customWidth="1"/>
    <col min="57" max="57" width="27.140625" bestFit="1" customWidth="1"/>
    <col min="58" max="58" width="20.28515625" bestFit="1" customWidth="1"/>
    <col min="59" max="59" width="19" bestFit="1" customWidth="1"/>
    <col min="60" max="60" width="29.85546875" bestFit="1" customWidth="1"/>
    <col min="61" max="61" width="41.140625" bestFit="1" customWidth="1"/>
    <col min="62" max="62" width="15.85546875" bestFit="1" customWidth="1"/>
    <col min="63" max="63" width="17.7109375" bestFit="1" customWidth="1"/>
    <col min="64" max="64" width="6" bestFit="1" customWidth="1"/>
    <col min="65" max="65" width="24.28515625" bestFit="1" customWidth="1"/>
    <col min="66" max="66" width="29" bestFit="1" customWidth="1"/>
    <col min="67" max="67" width="3.5703125" bestFit="1" customWidth="1"/>
    <col min="68" max="68" width="14.140625" bestFit="1" customWidth="1"/>
    <col min="69" max="69" width="40.42578125" bestFit="1" customWidth="1"/>
    <col min="70" max="70" width="10.42578125" bestFit="1" customWidth="1"/>
    <col min="71" max="71" width="31.7109375" bestFit="1" customWidth="1"/>
    <col min="72" max="72" width="29.42578125" bestFit="1" customWidth="1"/>
    <col min="73" max="73" width="38.85546875" bestFit="1" customWidth="1"/>
    <col min="75" max="75" width="19.28515625" bestFit="1" customWidth="1"/>
    <col min="76" max="76" width="12.85546875" bestFit="1" customWidth="1"/>
    <col min="77" max="77" width="24.28515625" bestFit="1" customWidth="1"/>
    <col min="78" max="78" width="19.5703125" bestFit="1" customWidth="1"/>
    <col min="79" max="79" width="16" bestFit="1" customWidth="1"/>
    <col min="80" max="80" width="34.85546875" bestFit="1" customWidth="1"/>
    <col min="81" max="81" width="7.140625" bestFit="1" customWidth="1"/>
    <col min="82" max="82" width="14.42578125" bestFit="1" customWidth="1"/>
    <col min="83" max="83" width="40.85546875" bestFit="1" customWidth="1"/>
    <col min="84" max="84" width="9.28515625" bestFit="1" customWidth="1"/>
    <col min="85" max="85" width="27" bestFit="1" customWidth="1"/>
    <col min="86" max="86" width="21.85546875" bestFit="1" customWidth="1"/>
    <col min="87" max="87" width="25.42578125" bestFit="1" customWidth="1"/>
    <col min="88" max="88" width="13.5703125" bestFit="1" customWidth="1"/>
    <col min="89" max="89" width="17.140625" bestFit="1" customWidth="1"/>
    <col min="90" max="90" width="25.28515625" bestFit="1" customWidth="1"/>
    <col min="91" max="91" width="15" bestFit="1" customWidth="1"/>
    <col min="92" max="92" width="11.7109375" bestFit="1" customWidth="1"/>
    <col min="93" max="93" width="19" bestFit="1" customWidth="1"/>
    <col min="94" max="94" width="16.7109375" bestFit="1" customWidth="1"/>
    <col min="95" max="95" width="11.28515625" bestFit="1" customWidth="1"/>
    <col min="96" max="96" width="18.85546875" bestFit="1" customWidth="1"/>
    <col min="97" max="97" width="36.7109375" bestFit="1" customWidth="1"/>
    <col min="98" max="98" width="25" bestFit="1" customWidth="1"/>
    <col min="99" max="99" width="23" bestFit="1" customWidth="1"/>
    <col min="100" max="100" width="36.140625" bestFit="1" customWidth="1"/>
    <col min="101" max="101" width="35.7109375" bestFit="1" customWidth="1"/>
    <col min="102" max="102" width="26.28515625" bestFit="1" customWidth="1"/>
    <col min="103" max="103" width="44.28515625" bestFit="1" customWidth="1"/>
    <col min="104" max="104" width="34" bestFit="1" customWidth="1"/>
    <col min="105" max="106" width="40" bestFit="1" customWidth="1"/>
    <col min="107" max="107" width="34.5703125" bestFit="1" customWidth="1"/>
    <col min="108" max="108" width="41.28515625" bestFit="1" customWidth="1"/>
    <col min="109" max="109" width="45.85546875" bestFit="1" customWidth="1"/>
    <col min="110" max="110" width="37" bestFit="1" customWidth="1"/>
    <col min="111" max="111" width="46.140625" bestFit="1" customWidth="1"/>
    <col min="112" max="112" width="52.7109375" bestFit="1" customWidth="1"/>
    <col min="113" max="113" width="49.42578125" bestFit="1" customWidth="1"/>
    <col min="114" max="114" width="9.5703125" bestFit="1" customWidth="1"/>
    <col min="115" max="115" width="8" bestFit="1" customWidth="1"/>
    <col min="116" max="116" width="18" bestFit="1" customWidth="1"/>
    <col min="117" max="117" width="38.28515625" bestFit="1" customWidth="1"/>
    <col min="118" max="118" width="9.7109375" bestFit="1" customWidth="1"/>
    <col min="119" max="119" width="20.140625" bestFit="1" customWidth="1"/>
    <col min="120" max="120" width="23.42578125" bestFit="1" customWidth="1"/>
    <col min="121" max="123" width="23.7109375" bestFit="1" customWidth="1"/>
    <col min="124" max="124" width="23.140625" bestFit="1" customWidth="1"/>
    <col min="125" max="125" width="30.28515625" bestFit="1" customWidth="1"/>
    <col min="126" max="126" width="16.7109375" bestFit="1" customWidth="1"/>
    <col min="127" max="127" width="27.42578125" bestFit="1" customWidth="1"/>
    <col min="128" max="128" width="22.5703125" bestFit="1" customWidth="1"/>
    <col min="129" max="129" width="51.7109375" bestFit="1" customWidth="1"/>
    <col min="130" max="130" width="50.5703125" bestFit="1" customWidth="1"/>
    <col min="131" max="131" width="59.85546875" bestFit="1" customWidth="1"/>
    <col min="132" max="132" width="12" bestFit="1" customWidth="1"/>
    <col min="133" max="133" width="29.85546875" bestFit="1" customWidth="1"/>
    <col min="134" max="135" width="22.28515625" bestFit="1" customWidth="1"/>
    <col min="136" max="136" width="19.42578125" bestFit="1" customWidth="1"/>
    <col min="137" max="137" width="21.5703125" bestFit="1" customWidth="1"/>
    <col min="138" max="138" width="19.5703125" bestFit="1" customWidth="1"/>
    <col min="139" max="139" width="35.28515625" bestFit="1" customWidth="1"/>
    <col min="140" max="140" width="35.42578125" bestFit="1" customWidth="1"/>
    <col min="141" max="141" width="22.42578125" bestFit="1" customWidth="1"/>
    <col min="142" max="142" width="22.28515625" bestFit="1" customWidth="1"/>
    <col min="143" max="143" width="10.140625" bestFit="1" customWidth="1"/>
    <col min="144" max="144" width="26.28515625" bestFit="1" customWidth="1"/>
    <col min="145" max="145" width="18.140625" bestFit="1" customWidth="1"/>
    <col min="146" max="146" width="12.7109375" bestFit="1" customWidth="1"/>
    <col min="147" max="147" width="17" bestFit="1" customWidth="1"/>
    <col min="148" max="148" width="17.85546875" bestFit="1" customWidth="1"/>
    <col min="149" max="149" width="27" bestFit="1" customWidth="1"/>
    <col min="150" max="150" width="48.42578125" bestFit="1" customWidth="1"/>
    <col min="151" max="151" width="9.42578125" bestFit="1" customWidth="1"/>
    <col min="152" max="152" width="23.140625" bestFit="1" customWidth="1"/>
    <col min="153" max="153" width="24" bestFit="1" customWidth="1"/>
    <col min="154" max="154" width="19.85546875" bestFit="1" customWidth="1"/>
    <col min="155" max="155" width="18.7109375" bestFit="1" customWidth="1"/>
    <col min="156" max="156" width="12.42578125" bestFit="1" customWidth="1"/>
    <col min="157" max="157" width="22" bestFit="1" customWidth="1"/>
    <col min="158" max="158" width="19.5703125" bestFit="1" customWidth="1"/>
    <col min="159" max="159" width="23.42578125" bestFit="1" customWidth="1"/>
    <col min="160" max="160" width="30.7109375" bestFit="1" customWidth="1"/>
    <col min="161" max="161" width="9.42578125" bestFit="1" customWidth="1"/>
    <col min="162" max="162" width="28.140625" bestFit="1" customWidth="1"/>
    <col min="163" max="163" width="27.140625" bestFit="1" customWidth="1"/>
    <col min="164" max="164" width="28.5703125" bestFit="1" customWidth="1"/>
    <col min="165" max="165" width="9.7109375" bestFit="1" customWidth="1"/>
    <col min="166" max="166" width="24.5703125" bestFit="1" customWidth="1"/>
    <col min="167" max="167" width="11.85546875" bestFit="1" customWidth="1"/>
    <col min="168" max="168" width="11.7109375" bestFit="1" customWidth="1"/>
    <col min="169" max="169" width="21.85546875" bestFit="1" customWidth="1"/>
    <col min="170" max="170" width="44.140625" bestFit="1" customWidth="1"/>
    <col min="171" max="171" width="30.85546875" bestFit="1" customWidth="1"/>
    <col min="172" max="172" width="42.5703125" bestFit="1" customWidth="1"/>
    <col min="173" max="173" width="33.7109375" bestFit="1" customWidth="1"/>
    <col min="174" max="174" width="34.140625" bestFit="1" customWidth="1"/>
    <col min="175" max="175" width="24.5703125" bestFit="1" customWidth="1"/>
    <col min="176" max="176" width="21.5703125" bestFit="1" customWidth="1"/>
    <col min="177" max="177" width="62" bestFit="1" customWidth="1"/>
    <col min="178" max="178" width="35.28515625" bestFit="1" customWidth="1"/>
    <col min="179" max="179" width="9.85546875" bestFit="1" customWidth="1"/>
    <col min="180" max="180" width="10" bestFit="1" customWidth="1"/>
    <col min="181" max="181" width="35" bestFit="1" customWidth="1"/>
    <col min="182" max="182" width="30.7109375" bestFit="1" customWidth="1"/>
    <col min="183" max="183" width="16.85546875" bestFit="1" customWidth="1"/>
    <col min="184" max="184" width="3.85546875" bestFit="1" customWidth="1"/>
    <col min="185" max="185" width="19.7109375" bestFit="1" customWidth="1"/>
    <col min="186" max="186" width="19" bestFit="1" customWidth="1"/>
    <col min="187" max="187" width="31.140625" bestFit="1" customWidth="1"/>
    <col min="188" max="188" width="19.5703125" bestFit="1" customWidth="1"/>
    <col min="189" max="189" width="13" bestFit="1" customWidth="1"/>
    <col min="190" max="190" width="31.42578125" bestFit="1" customWidth="1"/>
    <col min="191" max="191" width="16" bestFit="1" customWidth="1"/>
    <col min="192" max="192" width="12.42578125" bestFit="1" customWidth="1"/>
    <col min="193" max="193" width="49.85546875" bestFit="1" customWidth="1"/>
    <col min="194" max="194" width="11.85546875" bestFit="1" customWidth="1"/>
    <col min="195" max="195" width="18.140625" bestFit="1" customWidth="1"/>
    <col min="196" max="198" width="33.7109375" bestFit="1" customWidth="1"/>
    <col min="199" max="199" width="37.140625" bestFit="1" customWidth="1"/>
    <col min="200" max="200" width="16" bestFit="1" customWidth="1"/>
    <col min="201" max="201" width="17.140625" bestFit="1" customWidth="1"/>
    <col min="202" max="202" width="17" bestFit="1" customWidth="1"/>
    <col min="203" max="203" width="27.5703125" bestFit="1" customWidth="1"/>
    <col min="204" max="204" width="35.28515625" bestFit="1" customWidth="1"/>
    <col min="205" max="205" width="24.5703125" bestFit="1" customWidth="1"/>
    <col min="206" max="206" width="14.5703125" bestFit="1" customWidth="1"/>
    <col min="207" max="207" width="19.5703125" bestFit="1" customWidth="1"/>
    <col min="208" max="208" width="30.85546875" bestFit="1" customWidth="1"/>
    <col min="209" max="209" width="24.85546875" bestFit="1" customWidth="1"/>
    <col min="210" max="210" width="7.42578125" bestFit="1" customWidth="1"/>
    <col min="211" max="211" width="9" bestFit="1" customWidth="1"/>
    <col min="212" max="212" width="28.140625" bestFit="1" customWidth="1"/>
    <col min="213" max="213" width="10" bestFit="1" customWidth="1"/>
    <col min="214" max="214" width="18.42578125" bestFit="1" customWidth="1"/>
    <col min="215" max="215" width="15.28515625" bestFit="1" customWidth="1"/>
    <col min="216" max="216" width="26.28515625" bestFit="1" customWidth="1"/>
    <col min="217" max="217" width="24.7109375" bestFit="1" customWidth="1"/>
    <col min="218" max="218" width="49.7109375" bestFit="1" customWidth="1"/>
    <col min="219" max="219" width="4.7109375" bestFit="1" customWidth="1"/>
    <col min="220" max="220" width="19.42578125" bestFit="1" customWidth="1"/>
    <col min="221" max="221" width="15.28515625" bestFit="1" customWidth="1"/>
    <col min="222" max="222" width="16.5703125" bestFit="1" customWidth="1"/>
    <col min="223" max="223" width="18.140625" bestFit="1" customWidth="1"/>
    <col min="224" max="224" width="23.42578125" bestFit="1" customWidth="1"/>
    <col min="225" max="226" width="23.85546875" bestFit="1" customWidth="1"/>
    <col min="227" max="227" width="16.85546875" bestFit="1" customWidth="1"/>
    <col min="228" max="228" width="24.5703125" bestFit="1" customWidth="1"/>
    <col min="229" max="229" width="28.28515625" bestFit="1" customWidth="1"/>
    <col min="230" max="230" width="20" bestFit="1" customWidth="1"/>
    <col min="231" max="231" width="21.85546875" bestFit="1" customWidth="1"/>
    <col min="232" max="232" width="57.42578125" bestFit="1" customWidth="1"/>
    <col min="233" max="233" width="32.5703125" bestFit="1" customWidth="1"/>
    <col min="234" max="234" width="42.7109375" bestFit="1" customWidth="1"/>
    <col min="235" max="235" width="23.42578125" bestFit="1" customWidth="1"/>
    <col min="236" max="236" width="19.7109375" bestFit="1" customWidth="1"/>
    <col min="237" max="237" width="26" bestFit="1" customWidth="1"/>
    <col min="238" max="238" width="28.28515625" bestFit="1" customWidth="1"/>
    <col min="239" max="239" width="21.7109375" bestFit="1" customWidth="1"/>
    <col min="240" max="240" width="42.42578125" bestFit="1" customWidth="1"/>
    <col min="241" max="241" width="43" bestFit="1" customWidth="1"/>
    <col min="242" max="242" width="49.140625" bestFit="1" customWidth="1"/>
    <col min="243" max="243" width="48.7109375" bestFit="1" customWidth="1"/>
    <col min="244" max="244" width="21.28515625" bestFit="1" customWidth="1"/>
    <col min="245" max="245" width="27.28515625" bestFit="1" customWidth="1"/>
    <col min="246" max="246" width="23.85546875" bestFit="1" customWidth="1"/>
    <col min="247" max="247" width="21.85546875" bestFit="1" customWidth="1"/>
    <col min="248" max="248" width="33.140625" bestFit="1" customWidth="1"/>
    <col min="249" max="249" width="21.7109375" bestFit="1" customWidth="1"/>
    <col min="250" max="250" width="43.85546875" bestFit="1" customWidth="1"/>
    <col min="251" max="251" width="16" bestFit="1" customWidth="1"/>
    <col min="252" max="252" width="27.42578125" bestFit="1" customWidth="1"/>
    <col min="253" max="253" width="13" bestFit="1" customWidth="1"/>
    <col min="254" max="254" width="22.140625" bestFit="1" customWidth="1"/>
    <col min="255" max="255" width="23" bestFit="1" customWidth="1"/>
    <col min="256" max="256" width="29.42578125" bestFit="1" customWidth="1"/>
    <col min="257" max="257" width="20.7109375" bestFit="1" customWidth="1"/>
    <col min="258" max="258" width="18" bestFit="1" customWidth="1"/>
    <col min="259" max="259" width="19.140625" bestFit="1" customWidth="1"/>
    <col min="260" max="260" width="27" bestFit="1" customWidth="1"/>
    <col min="261" max="261" width="15.7109375" bestFit="1" customWidth="1"/>
    <col min="262" max="262" width="26.42578125" bestFit="1" customWidth="1"/>
    <col min="263" max="263" width="22.85546875" bestFit="1" customWidth="1"/>
    <col min="264" max="264" width="36.140625" bestFit="1" customWidth="1"/>
    <col min="265" max="265" width="31.42578125" bestFit="1" customWidth="1"/>
    <col min="266" max="266" width="48.28515625" bestFit="1" customWidth="1"/>
    <col min="267" max="267" width="60.7109375" bestFit="1" customWidth="1"/>
    <col min="268" max="268" width="14.140625" bestFit="1" customWidth="1"/>
    <col min="269" max="269" width="32.5703125" bestFit="1" customWidth="1"/>
    <col min="270" max="270" width="4.5703125" bestFit="1" customWidth="1"/>
    <col min="271" max="271" width="16.5703125" bestFit="1" customWidth="1"/>
    <col min="272" max="272" width="16.28515625" bestFit="1" customWidth="1"/>
    <col min="273" max="273" width="7.42578125" bestFit="1" customWidth="1"/>
    <col min="274" max="274" width="30.140625" bestFit="1" customWidth="1"/>
    <col min="275" max="275" width="18.42578125" bestFit="1" customWidth="1"/>
    <col min="276" max="276" width="26.85546875" bestFit="1" customWidth="1"/>
    <col min="277" max="277" width="24.7109375" bestFit="1" customWidth="1"/>
    <col min="278" max="278" width="25.140625" bestFit="1" customWidth="1"/>
    <col min="279" max="279" width="17" bestFit="1" customWidth="1"/>
    <col min="280" max="280" width="21.7109375" bestFit="1" customWidth="1"/>
    <col min="281" max="281" width="23.7109375" bestFit="1" customWidth="1"/>
    <col min="282" max="282" width="26.5703125" bestFit="1" customWidth="1"/>
    <col min="283" max="283" width="4.28515625" bestFit="1" customWidth="1"/>
    <col min="284" max="284" width="25.85546875" bestFit="1" customWidth="1"/>
    <col min="285" max="285" width="21.5703125" bestFit="1" customWidth="1"/>
    <col min="286" max="286" width="18" bestFit="1" customWidth="1"/>
    <col min="287" max="287" width="28.42578125" bestFit="1" customWidth="1"/>
    <col min="288" max="288" width="13" bestFit="1" customWidth="1"/>
    <col min="289" max="289" width="33.5703125" bestFit="1" customWidth="1"/>
    <col min="290" max="290" width="19.5703125" bestFit="1" customWidth="1"/>
    <col min="291" max="291" width="22.42578125" bestFit="1" customWidth="1"/>
    <col min="292" max="292" width="27.28515625" bestFit="1" customWidth="1"/>
    <col min="293" max="293" width="12" bestFit="1" customWidth="1"/>
    <col min="294" max="294" width="14.140625" bestFit="1" customWidth="1"/>
    <col min="295" max="295" width="14.7109375" bestFit="1" customWidth="1"/>
    <col min="296" max="296" width="17.7109375" bestFit="1" customWidth="1"/>
    <col min="297" max="297" width="15.140625" bestFit="1" customWidth="1"/>
    <col min="298" max="298" width="25.28515625" bestFit="1" customWidth="1"/>
    <col min="299" max="299" width="18" bestFit="1" customWidth="1"/>
    <col min="300" max="300" width="40.85546875" bestFit="1" customWidth="1"/>
    <col min="301" max="301" width="38.7109375" bestFit="1" customWidth="1"/>
    <col min="302" max="302" width="19.140625" bestFit="1" customWidth="1"/>
    <col min="303" max="303" width="22.42578125" bestFit="1" customWidth="1"/>
    <col min="304" max="304" width="22.7109375" bestFit="1" customWidth="1"/>
    <col min="305" max="305" width="8.85546875" bestFit="1" customWidth="1"/>
    <col min="306" max="306" width="29.28515625" bestFit="1" customWidth="1"/>
    <col min="307" max="307" width="19.5703125" bestFit="1" customWidth="1"/>
    <col min="308" max="308" width="13.85546875" bestFit="1" customWidth="1"/>
    <col min="309" max="309" width="20.28515625" bestFit="1" customWidth="1"/>
    <col min="310" max="310" width="74.5703125" bestFit="1" customWidth="1"/>
    <col min="311" max="311" width="18.85546875" bestFit="1" customWidth="1"/>
    <col min="312" max="312" width="29" bestFit="1" customWidth="1"/>
    <col min="313" max="313" width="18.5703125" bestFit="1" customWidth="1"/>
    <col min="314" max="314" width="22.85546875" bestFit="1" customWidth="1"/>
    <col min="315" max="315" width="21.7109375" bestFit="1" customWidth="1"/>
    <col min="316" max="316" width="19.42578125" bestFit="1" customWidth="1"/>
    <col min="317" max="317" width="8.7109375" bestFit="1" customWidth="1"/>
    <col min="318" max="318" width="25.28515625" bestFit="1" customWidth="1"/>
    <col min="319" max="319" width="10.140625" bestFit="1" customWidth="1"/>
    <col min="320" max="320" width="32.28515625" bestFit="1" customWidth="1"/>
    <col min="321" max="321" width="32" bestFit="1" customWidth="1"/>
    <col min="322" max="322" width="17.42578125" bestFit="1" customWidth="1"/>
    <col min="323" max="323" width="29.5703125" bestFit="1" customWidth="1"/>
    <col min="324" max="324" width="23.140625" bestFit="1" customWidth="1"/>
    <col min="325" max="325" width="24.28515625" bestFit="1" customWidth="1"/>
    <col min="326" max="326" width="32.42578125" bestFit="1" customWidth="1"/>
    <col min="327" max="327" width="42.7109375" bestFit="1" customWidth="1"/>
    <col min="328" max="328" width="33.28515625" bestFit="1" customWidth="1"/>
    <col min="329" max="329" width="31.28515625" bestFit="1" customWidth="1"/>
    <col min="330" max="330" width="28.85546875" bestFit="1" customWidth="1"/>
    <col min="331" max="331" width="23.7109375" bestFit="1" customWidth="1"/>
    <col min="332" max="332" width="29" bestFit="1" customWidth="1"/>
    <col min="333" max="333" width="18" bestFit="1" customWidth="1"/>
    <col min="334" max="334" width="25.140625" bestFit="1" customWidth="1"/>
    <col min="335" max="335" width="29.140625" bestFit="1" customWidth="1"/>
    <col min="336" max="336" width="33.28515625" bestFit="1" customWidth="1"/>
    <col min="337" max="337" width="28" bestFit="1" customWidth="1"/>
    <col min="338" max="338" width="32.28515625" bestFit="1" customWidth="1"/>
    <col min="339" max="339" width="30.5703125" bestFit="1" customWidth="1"/>
    <col min="340" max="340" width="10.28515625" bestFit="1" customWidth="1"/>
    <col min="341" max="341" width="12.5703125" bestFit="1" customWidth="1"/>
  </cols>
  <sheetData>
    <row r="3" spans="1:5">
      <c r="A3" s="10" t="s">
        <v>5</v>
      </c>
      <c r="B3" s="11" t="s">
        <v>1</v>
      </c>
      <c r="C3" s="10" t="s">
        <v>767</v>
      </c>
      <c r="D3" s="10" t="s">
        <v>4</v>
      </c>
      <c r="E3" s="9" t="s">
        <v>768</v>
      </c>
    </row>
    <row r="4" spans="1:5">
      <c r="A4" t="s">
        <v>769</v>
      </c>
      <c r="B4" t="s">
        <v>151</v>
      </c>
      <c r="C4" t="s">
        <v>770</v>
      </c>
      <c r="D4" t="s">
        <v>25</v>
      </c>
    </row>
    <row r="5" spans="1:5">
      <c r="A5" t="s">
        <v>771</v>
      </c>
      <c r="B5" t="s">
        <v>54</v>
      </c>
      <c r="C5" t="s">
        <v>772</v>
      </c>
      <c r="D5" t="s">
        <v>25</v>
      </c>
    </row>
    <row r="6" spans="1:5">
      <c r="B6" t="s">
        <v>773</v>
      </c>
      <c r="C6" t="s">
        <v>772</v>
      </c>
      <c r="D6" t="s">
        <v>91</v>
      </c>
    </row>
    <row r="7" spans="1:5">
      <c r="B7" t="s">
        <v>774</v>
      </c>
      <c r="C7" t="s">
        <v>772</v>
      </c>
      <c r="D7" t="s">
        <v>91</v>
      </c>
    </row>
    <row r="8" spans="1:5">
      <c r="B8" t="s">
        <v>775</v>
      </c>
      <c r="C8" t="s">
        <v>772</v>
      </c>
      <c r="D8" t="s">
        <v>25</v>
      </c>
    </row>
    <row r="9" spans="1:5">
      <c r="B9" t="s">
        <v>687</v>
      </c>
      <c r="C9" t="s">
        <v>772</v>
      </c>
      <c r="D9" t="s">
        <v>91</v>
      </c>
    </row>
    <row r="10" spans="1:5">
      <c r="B10" t="s">
        <v>126</v>
      </c>
      <c r="C10" t="s">
        <v>772</v>
      </c>
      <c r="D10" t="s">
        <v>25</v>
      </c>
    </row>
    <row r="11" spans="1:5">
      <c r="A11" t="s">
        <v>776</v>
      </c>
      <c r="B11" t="s">
        <v>89</v>
      </c>
      <c r="C11" t="s">
        <v>777</v>
      </c>
      <c r="D11" t="s">
        <v>91</v>
      </c>
    </row>
    <row r="12" spans="1:5">
      <c r="B12" t="s">
        <v>98</v>
      </c>
      <c r="C12" t="s">
        <v>772</v>
      </c>
      <c r="D12" t="s">
        <v>91</v>
      </c>
    </row>
    <row r="13" spans="1:5">
      <c r="B13" t="s">
        <v>101</v>
      </c>
      <c r="C13" t="s">
        <v>778</v>
      </c>
      <c r="D13" t="s">
        <v>91</v>
      </c>
    </row>
    <row r="14" spans="1:5">
      <c r="B14" t="s">
        <v>103</v>
      </c>
      <c r="C14" t="s">
        <v>779</v>
      </c>
      <c r="D14" t="s">
        <v>91</v>
      </c>
    </row>
    <row r="15" spans="1:5">
      <c r="B15" t="s">
        <v>105</v>
      </c>
      <c r="C15" t="s">
        <v>772</v>
      </c>
      <c r="D15" t="s">
        <v>91</v>
      </c>
    </row>
    <row r="16" spans="1:5">
      <c r="B16" t="s">
        <v>261</v>
      </c>
      <c r="C16" t="s">
        <v>770</v>
      </c>
      <c r="D16" t="s">
        <v>262</v>
      </c>
      <c r="E16">
        <v>3</v>
      </c>
    </row>
    <row r="17" spans="1:5">
      <c r="B17" t="s">
        <v>780</v>
      </c>
      <c r="C17" t="s">
        <v>779</v>
      </c>
      <c r="D17" t="s">
        <v>136</v>
      </c>
      <c r="E17">
        <v>3</v>
      </c>
    </row>
    <row r="18" spans="1:5">
      <c r="B18" t="s">
        <v>280</v>
      </c>
      <c r="C18" t="s">
        <v>772</v>
      </c>
      <c r="D18" t="s">
        <v>262</v>
      </c>
      <c r="E18">
        <v>3</v>
      </c>
    </row>
    <row r="19" spans="1:5">
      <c r="B19" t="s">
        <v>290</v>
      </c>
      <c r="C19" t="s">
        <v>779</v>
      </c>
      <c r="D19" t="s">
        <v>262</v>
      </c>
      <c r="E19">
        <v>3</v>
      </c>
    </row>
    <row r="20" spans="1:5">
      <c r="B20" t="s">
        <v>276</v>
      </c>
      <c r="C20" t="s">
        <v>779</v>
      </c>
      <c r="D20" t="s">
        <v>262</v>
      </c>
      <c r="E20">
        <v>3</v>
      </c>
    </row>
    <row r="21" spans="1:5">
      <c r="A21" t="s">
        <v>781</v>
      </c>
      <c r="B21" t="s">
        <v>66</v>
      </c>
      <c r="C21" t="s">
        <v>782</v>
      </c>
    </row>
    <row r="22" spans="1:5">
      <c r="B22" t="s">
        <v>360</v>
      </c>
      <c r="C22" t="s">
        <v>782</v>
      </c>
    </row>
    <row r="23" spans="1:5">
      <c r="B23" t="s">
        <v>82</v>
      </c>
      <c r="C23" t="s">
        <v>770</v>
      </c>
      <c r="D23" t="s">
        <v>25</v>
      </c>
    </row>
    <row r="24" spans="1:5">
      <c r="B24" t="s">
        <v>275</v>
      </c>
      <c r="C24" t="s">
        <v>770</v>
      </c>
      <c r="D24" t="s">
        <v>25</v>
      </c>
    </row>
    <row r="25" spans="1:5">
      <c r="B25" t="s">
        <v>338</v>
      </c>
      <c r="C25" t="s">
        <v>770</v>
      </c>
      <c r="D25" t="s">
        <v>25</v>
      </c>
    </row>
    <row r="26" spans="1:5">
      <c r="B26" t="s">
        <v>348</v>
      </c>
      <c r="C26" t="s">
        <v>782</v>
      </c>
    </row>
    <row r="27" spans="1:5">
      <c r="B27" t="s">
        <v>349</v>
      </c>
      <c r="C27" t="s">
        <v>770</v>
      </c>
      <c r="D27" t="s">
        <v>91</v>
      </c>
    </row>
    <row r="28" spans="1:5">
      <c r="B28" t="s">
        <v>783</v>
      </c>
      <c r="C28" t="s">
        <v>770</v>
      </c>
      <c r="D28" t="s">
        <v>25</v>
      </c>
    </row>
    <row r="29" spans="1:5">
      <c r="B29" t="s">
        <v>784</v>
      </c>
      <c r="C29" t="s">
        <v>770</v>
      </c>
      <c r="D29" t="s">
        <v>25</v>
      </c>
    </row>
    <row r="30" spans="1:5">
      <c r="B30" t="s">
        <v>347</v>
      </c>
      <c r="C30" t="s">
        <v>782</v>
      </c>
    </row>
    <row r="31" spans="1:5">
      <c r="B31" t="s">
        <v>364</v>
      </c>
      <c r="C31" t="s">
        <v>782</v>
      </c>
    </row>
    <row r="32" spans="1:5">
      <c r="B32" t="s">
        <v>350</v>
      </c>
      <c r="C32" t="s">
        <v>778</v>
      </c>
      <c r="D32" t="s">
        <v>91</v>
      </c>
    </row>
    <row r="33" spans="1:4">
      <c r="B33" t="s">
        <v>236</v>
      </c>
      <c r="C33" t="s">
        <v>779</v>
      </c>
      <c r="D33" t="s">
        <v>25</v>
      </c>
    </row>
    <row r="34" spans="1:4">
      <c r="B34" t="s">
        <v>234</v>
      </c>
      <c r="C34" t="s">
        <v>770</v>
      </c>
      <c r="D34" t="s">
        <v>25</v>
      </c>
    </row>
    <row r="35" spans="1:4">
      <c r="B35" t="s">
        <v>237</v>
      </c>
      <c r="C35" t="s">
        <v>770</v>
      </c>
      <c r="D35" t="s">
        <v>25</v>
      </c>
    </row>
    <row r="36" spans="1:4">
      <c r="B36" t="s">
        <v>235</v>
      </c>
      <c r="C36" t="s">
        <v>770</v>
      </c>
      <c r="D36" t="s">
        <v>25</v>
      </c>
    </row>
    <row r="37" spans="1:4">
      <c r="B37" t="s">
        <v>714</v>
      </c>
      <c r="C37" t="s">
        <v>782</v>
      </c>
    </row>
    <row r="38" spans="1:4">
      <c r="A38" t="s">
        <v>785</v>
      </c>
      <c r="B38" t="s">
        <v>390</v>
      </c>
      <c r="C38" t="s">
        <v>772</v>
      </c>
      <c r="D38" t="s">
        <v>91</v>
      </c>
    </row>
    <row r="39" spans="1:4">
      <c r="B39" t="s">
        <v>22</v>
      </c>
      <c r="C39" t="s">
        <v>770</v>
      </c>
      <c r="D39" t="s">
        <v>25</v>
      </c>
    </row>
    <row r="40" spans="1:4">
      <c r="B40" t="s">
        <v>327</v>
      </c>
      <c r="C40" t="s">
        <v>770</v>
      </c>
      <c r="D40" t="s">
        <v>91</v>
      </c>
    </row>
    <row r="41" spans="1:4">
      <c r="B41" t="s">
        <v>335</v>
      </c>
      <c r="C41" t="s">
        <v>778</v>
      </c>
      <c r="D41" t="s">
        <v>91</v>
      </c>
    </row>
    <row r="42" spans="1:4">
      <c r="B42" t="s">
        <v>328</v>
      </c>
      <c r="C42" t="s">
        <v>782</v>
      </c>
    </row>
    <row r="43" spans="1:4">
      <c r="B43" t="s">
        <v>383</v>
      </c>
      <c r="C43" t="s">
        <v>782</v>
      </c>
    </row>
    <row r="44" spans="1:4">
      <c r="B44" t="s">
        <v>378</v>
      </c>
      <c r="C44" t="s">
        <v>782</v>
      </c>
    </row>
    <row r="45" spans="1:4">
      <c r="B45" t="s">
        <v>273</v>
      </c>
      <c r="C45" t="s">
        <v>770</v>
      </c>
      <c r="D45" t="s">
        <v>274</v>
      </c>
    </row>
    <row r="46" spans="1:4">
      <c r="B46" t="s">
        <v>346</v>
      </c>
      <c r="C46" t="s">
        <v>782</v>
      </c>
    </row>
    <row r="47" spans="1:4">
      <c r="B47" t="s">
        <v>233</v>
      </c>
      <c r="C47" t="s">
        <v>770</v>
      </c>
      <c r="D47" t="s">
        <v>25</v>
      </c>
    </row>
    <row r="48" spans="1:4">
      <c r="B48" t="s">
        <v>332</v>
      </c>
      <c r="C48" t="s">
        <v>772</v>
      </c>
      <c r="D48" t="s">
        <v>91</v>
      </c>
    </row>
    <row r="49" spans="2:4">
      <c r="B49" t="s">
        <v>113</v>
      </c>
      <c r="C49" t="s">
        <v>782</v>
      </c>
    </row>
    <row r="50" spans="2:4">
      <c r="B50" t="s">
        <v>337</v>
      </c>
      <c r="C50" t="s">
        <v>772</v>
      </c>
      <c r="D50" t="s">
        <v>91</v>
      </c>
    </row>
    <row r="51" spans="2:4">
      <c r="B51" t="s">
        <v>329</v>
      </c>
      <c r="C51" t="s">
        <v>772</v>
      </c>
      <c r="D51" t="s">
        <v>91</v>
      </c>
    </row>
    <row r="52" spans="2:4">
      <c r="B52" t="s">
        <v>699</v>
      </c>
      <c r="C52" t="s">
        <v>782</v>
      </c>
    </row>
    <row r="53" spans="2:4">
      <c r="B53" t="s">
        <v>334</v>
      </c>
      <c r="C53" t="s">
        <v>782</v>
      </c>
    </row>
    <row r="54" spans="2:4">
      <c r="B54" t="s">
        <v>330</v>
      </c>
      <c r="C54" t="s">
        <v>778</v>
      </c>
      <c r="D54" t="s">
        <v>91</v>
      </c>
    </row>
    <row r="55" spans="2:4">
      <c r="B55" t="s">
        <v>388</v>
      </c>
      <c r="C55" t="s">
        <v>782</v>
      </c>
    </row>
    <row r="56" spans="2:4">
      <c r="B56" t="s">
        <v>343</v>
      </c>
      <c r="C56" t="s">
        <v>782</v>
      </c>
    </row>
    <row r="57" spans="2:4">
      <c r="B57" t="s">
        <v>122</v>
      </c>
      <c r="C57" t="s">
        <v>782</v>
      </c>
    </row>
    <row r="58" spans="2:4">
      <c r="B58" t="s">
        <v>393</v>
      </c>
      <c r="C58" t="s">
        <v>777</v>
      </c>
      <c r="D58" t="s">
        <v>91</v>
      </c>
    </row>
    <row r="59" spans="2:4">
      <c r="B59" t="s">
        <v>351</v>
      </c>
      <c r="C59" t="s">
        <v>782</v>
      </c>
    </row>
    <row r="60" spans="2:4">
      <c r="B60" t="s">
        <v>345</v>
      </c>
      <c r="C60" t="s">
        <v>778</v>
      </c>
      <c r="D60" t="s">
        <v>91</v>
      </c>
    </row>
    <row r="61" spans="2:4">
      <c r="B61" t="s">
        <v>353</v>
      </c>
      <c r="C61" t="s">
        <v>772</v>
      </c>
      <c r="D61" t="s">
        <v>91</v>
      </c>
    </row>
    <row r="62" spans="2:4">
      <c r="B62" t="s">
        <v>692</v>
      </c>
      <c r="C62" t="s">
        <v>782</v>
      </c>
    </row>
    <row r="63" spans="2:4">
      <c r="B63" t="s">
        <v>341</v>
      </c>
      <c r="C63" t="s">
        <v>772</v>
      </c>
      <c r="D63" t="s">
        <v>91</v>
      </c>
    </row>
    <row r="64" spans="2:4">
      <c r="B64" t="s">
        <v>355</v>
      </c>
      <c r="C64" t="s">
        <v>772</v>
      </c>
      <c r="D64" t="s">
        <v>91</v>
      </c>
    </row>
    <row r="65" spans="2:4">
      <c r="B65" t="s">
        <v>384</v>
      </c>
      <c r="C65" t="s">
        <v>782</v>
      </c>
    </row>
    <row r="66" spans="2:4">
      <c r="B66" t="s">
        <v>356</v>
      </c>
      <c r="C66" t="s">
        <v>772</v>
      </c>
      <c r="D66" t="s">
        <v>91</v>
      </c>
    </row>
    <row r="67" spans="2:4">
      <c r="B67" t="s">
        <v>352</v>
      </c>
      <c r="C67" t="s">
        <v>770</v>
      </c>
      <c r="D67" t="s">
        <v>91</v>
      </c>
    </row>
    <row r="68" spans="2:4">
      <c r="B68" t="s">
        <v>386</v>
      </c>
      <c r="C68" t="s">
        <v>778</v>
      </c>
      <c r="D68" t="s">
        <v>91</v>
      </c>
    </row>
    <row r="69" spans="2:4">
      <c r="B69" t="s">
        <v>387</v>
      </c>
      <c r="C69" t="s">
        <v>770</v>
      </c>
      <c r="D69" t="s">
        <v>91</v>
      </c>
    </row>
    <row r="70" spans="2:4">
      <c r="B70" t="s">
        <v>336</v>
      </c>
      <c r="C70" t="s">
        <v>772</v>
      </c>
      <c r="D70" t="s">
        <v>91</v>
      </c>
    </row>
    <row r="71" spans="2:4">
      <c r="B71" t="s">
        <v>354</v>
      </c>
      <c r="C71" t="s">
        <v>770</v>
      </c>
      <c r="D71" t="s">
        <v>91</v>
      </c>
    </row>
    <row r="72" spans="2:4">
      <c r="B72" t="s">
        <v>389</v>
      </c>
      <c r="C72" t="s">
        <v>770</v>
      </c>
      <c r="D72" t="s">
        <v>91</v>
      </c>
    </row>
    <row r="73" spans="2:4">
      <c r="B73" t="s">
        <v>333</v>
      </c>
      <c r="C73" t="s">
        <v>772</v>
      </c>
      <c r="D73" t="s">
        <v>91</v>
      </c>
    </row>
    <row r="74" spans="2:4">
      <c r="B74" t="s">
        <v>385</v>
      </c>
      <c r="C74" t="s">
        <v>772</v>
      </c>
      <c r="D74" t="s">
        <v>91</v>
      </c>
    </row>
    <row r="75" spans="2:4">
      <c r="B75" t="s">
        <v>138</v>
      </c>
      <c r="C75" t="s">
        <v>770</v>
      </c>
      <c r="D75" t="s">
        <v>25</v>
      </c>
    </row>
    <row r="76" spans="2:4">
      <c r="B76" t="s">
        <v>142</v>
      </c>
      <c r="C76" t="s">
        <v>778</v>
      </c>
      <c r="D76" t="s">
        <v>25</v>
      </c>
    </row>
    <row r="77" spans="2:4">
      <c r="B77" t="s">
        <v>693</v>
      </c>
      <c r="C77" t="s">
        <v>782</v>
      </c>
    </row>
    <row r="78" spans="2:4">
      <c r="B78" t="s">
        <v>342</v>
      </c>
      <c r="C78" t="s">
        <v>770</v>
      </c>
      <c r="D78" t="s">
        <v>91</v>
      </c>
    </row>
    <row r="79" spans="2:4">
      <c r="B79" t="s">
        <v>344</v>
      </c>
      <c r="C79" t="s">
        <v>770</v>
      </c>
      <c r="D79" t="s">
        <v>91</v>
      </c>
    </row>
    <row r="80" spans="2:4">
      <c r="B80" t="s">
        <v>271</v>
      </c>
      <c r="C80" t="s">
        <v>770</v>
      </c>
      <c r="D80" t="s">
        <v>272</v>
      </c>
    </row>
    <row r="81" spans="1:4">
      <c r="B81" t="s">
        <v>331</v>
      </c>
      <c r="C81" t="s">
        <v>782</v>
      </c>
    </row>
    <row r="82" spans="1:4">
      <c r="B82" t="s">
        <v>748</v>
      </c>
      <c r="C82" t="s">
        <v>782</v>
      </c>
    </row>
    <row r="83" spans="1:4">
      <c r="A83" t="s">
        <v>786</v>
      </c>
      <c r="B83" t="s">
        <v>428</v>
      </c>
      <c r="C83" t="s">
        <v>779</v>
      </c>
      <c r="D83" t="s">
        <v>25</v>
      </c>
    </row>
    <row r="84" spans="1:4">
      <c r="B84" t="s">
        <v>427</v>
      </c>
      <c r="C84" t="s">
        <v>779</v>
      </c>
      <c r="D84" t="s">
        <v>25</v>
      </c>
    </row>
    <row r="85" spans="1:4">
      <c r="B85" t="s">
        <v>441</v>
      </c>
      <c r="C85" t="s">
        <v>779</v>
      </c>
      <c r="D85" t="s">
        <v>25</v>
      </c>
    </row>
    <row r="86" spans="1:4">
      <c r="B86" t="s">
        <v>397</v>
      </c>
      <c r="C86" t="s">
        <v>778</v>
      </c>
      <c r="D86" t="s">
        <v>25</v>
      </c>
    </row>
    <row r="87" spans="1:4">
      <c r="B87" t="s">
        <v>524</v>
      </c>
      <c r="C87" t="s">
        <v>779</v>
      </c>
      <c r="D87" t="s">
        <v>25</v>
      </c>
    </row>
    <row r="88" spans="1:4">
      <c r="B88" t="s">
        <v>492</v>
      </c>
      <c r="C88" t="s">
        <v>779</v>
      </c>
      <c r="D88" t="s">
        <v>25</v>
      </c>
    </row>
    <row r="89" spans="1:4">
      <c r="B89" t="s">
        <v>495</v>
      </c>
      <c r="C89" t="s">
        <v>779</v>
      </c>
      <c r="D89" t="s">
        <v>25</v>
      </c>
    </row>
    <row r="90" spans="1:4">
      <c r="B90" t="s">
        <v>494</v>
      </c>
      <c r="C90" t="s">
        <v>779</v>
      </c>
      <c r="D90" t="s">
        <v>25</v>
      </c>
    </row>
    <row r="91" spans="1:4">
      <c r="B91" t="s">
        <v>516</v>
      </c>
      <c r="C91" t="s">
        <v>779</v>
      </c>
      <c r="D91" t="s">
        <v>25</v>
      </c>
    </row>
    <row r="92" spans="1:4">
      <c r="B92" t="s">
        <v>515</v>
      </c>
      <c r="C92" t="s">
        <v>779</v>
      </c>
      <c r="D92" t="s">
        <v>25</v>
      </c>
    </row>
    <row r="93" spans="1:4">
      <c r="B93" t="s">
        <v>522</v>
      </c>
      <c r="C93" t="s">
        <v>779</v>
      </c>
      <c r="D93" t="s">
        <v>25</v>
      </c>
    </row>
    <row r="94" spans="1:4">
      <c r="B94" t="s">
        <v>550</v>
      </c>
      <c r="C94" t="s">
        <v>779</v>
      </c>
      <c r="D94" t="s">
        <v>25</v>
      </c>
    </row>
    <row r="95" spans="1:4">
      <c r="B95" t="s">
        <v>549</v>
      </c>
      <c r="C95" t="s">
        <v>779</v>
      </c>
      <c r="D95" t="s">
        <v>25</v>
      </c>
    </row>
    <row r="96" spans="1:4">
      <c r="B96" t="s">
        <v>399</v>
      </c>
      <c r="C96" t="s">
        <v>778</v>
      </c>
      <c r="D96" t="s">
        <v>25</v>
      </c>
    </row>
    <row r="97" spans="2:4">
      <c r="B97" t="s">
        <v>698</v>
      </c>
      <c r="C97" t="s">
        <v>779</v>
      </c>
      <c r="D97" t="s">
        <v>91</v>
      </c>
    </row>
    <row r="98" spans="2:4">
      <c r="B98" t="s">
        <v>696</v>
      </c>
      <c r="C98" t="s">
        <v>772</v>
      </c>
      <c r="D98" t="s">
        <v>91</v>
      </c>
    </row>
    <row r="99" spans="2:4">
      <c r="B99" t="s">
        <v>697</v>
      </c>
      <c r="C99" t="s">
        <v>772</v>
      </c>
      <c r="D99" t="s">
        <v>91</v>
      </c>
    </row>
    <row r="100" spans="2:4">
      <c r="B100" t="s">
        <v>694</v>
      </c>
      <c r="C100" t="s">
        <v>779</v>
      </c>
      <c r="D100" t="s">
        <v>91</v>
      </c>
    </row>
    <row r="101" spans="2:4">
      <c r="B101" t="s">
        <v>533</v>
      </c>
      <c r="C101" t="s">
        <v>779</v>
      </c>
      <c r="D101" t="s">
        <v>25</v>
      </c>
    </row>
    <row r="102" spans="2:4">
      <c r="B102" t="s">
        <v>527</v>
      </c>
      <c r="C102" t="s">
        <v>779</v>
      </c>
      <c r="D102" t="s">
        <v>25</v>
      </c>
    </row>
    <row r="103" spans="2:4">
      <c r="B103" t="s">
        <v>490</v>
      </c>
      <c r="C103" t="s">
        <v>779</v>
      </c>
      <c r="D103" t="s">
        <v>25</v>
      </c>
    </row>
    <row r="104" spans="2:4">
      <c r="B104" t="s">
        <v>545</v>
      </c>
      <c r="C104" t="s">
        <v>779</v>
      </c>
      <c r="D104" t="s">
        <v>25</v>
      </c>
    </row>
    <row r="105" spans="2:4">
      <c r="B105" t="s">
        <v>526</v>
      </c>
      <c r="C105" t="s">
        <v>779</v>
      </c>
      <c r="D105" t="s">
        <v>25</v>
      </c>
    </row>
    <row r="106" spans="2:4">
      <c r="B106" t="s">
        <v>486</v>
      </c>
      <c r="C106" t="s">
        <v>779</v>
      </c>
      <c r="D106" t="s">
        <v>25</v>
      </c>
    </row>
    <row r="107" spans="2:4">
      <c r="B107" t="s">
        <v>534</v>
      </c>
      <c r="C107" t="s">
        <v>779</v>
      </c>
      <c r="D107" t="s">
        <v>25</v>
      </c>
    </row>
    <row r="108" spans="2:4">
      <c r="B108" t="s">
        <v>535</v>
      </c>
      <c r="C108" t="s">
        <v>779</v>
      </c>
      <c r="D108" t="s">
        <v>25</v>
      </c>
    </row>
    <row r="109" spans="2:4">
      <c r="B109" t="s">
        <v>440</v>
      </c>
      <c r="C109" t="s">
        <v>779</v>
      </c>
      <c r="D109" t="s">
        <v>25</v>
      </c>
    </row>
    <row r="110" spans="2:4">
      <c r="B110" t="s">
        <v>438</v>
      </c>
      <c r="C110" t="s">
        <v>779</v>
      </c>
      <c r="D110" t="s">
        <v>25</v>
      </c>
    </row>
    <row r="111" spans="2:4">
      <c r="B111" t="s">
        <v>439</v>
      </c>
      <c r="C111" t="s">
        <v>779</v>
      </c>
      <c r="D111" t="s">
        <v>25</v>
      </c>
    </row>
    <row r="112" spans="2:4">
      <c r="B112" t="s">
        <v>426</v>
      </c>
      <c r="C112" t="s">
        <v>779</v>
      </c>
      <c r="D112" t="s">
        <v>25</v>
      </c>
    </row>
    <row r="113" spans="2:4">
      <c r="B113" t="s">
        <v>425</v>
      </c>
      <c r="C113" t="s">
        <v>779</v>
      </c>
      <c r="D113" t="s">
        <v>25</v>
      </c>
    </row>
    <row r="114" spans="2:4">
      <c r="B114" t="s">
        <v>519</v>
      </c>
      <c r="C114" t="s">
        <v>779</v>
      </c>
      <c r="D114" t="s">
        <v>25</v>
      </c>
    </row>
    <row r="115" spans="2:4">
      <c r="B115" t="s">
        <v>520</v>
      </c>
      <c r="C115" t="s">
        <v>779</v>
      </c>
      <c r="D115" t="s">
        <v>25</v>
      </c>
    </row>
    <row r="116" spans="2:4">
      <c r="B116" t="s">
        <v>488</v>
      </c>
      <c r="C116" t="s">
        <v>779</v>
      </c>
      <c r="D116" t="s">
        <v>25</v>
      </c>
    </row>
    <row r="117" spans="2:4">
      <c r="B117" t="s">
        <v>487</v>
      </c>
      <c r="C117" t="s">
        <v>779</v>
      </c>
      <c r="D117" t="s">
        <v>25</v>
      </c>
    </row>
    <row r="118" spans="2:4">
      <c r="B118" t="s">
        <v>506</v>
      </c>
      <c r="C118" t="s">
        <v>779</v>
      </c>
      <c r="D118" t="s">
        <v>25</v>
      </c>
    </row>
    <row r="119" spans="2:4">
      <c r="B119" t="s">
        <v>504</v>
      </c>
      <c r="C119" t="s">
        <v>779</v>
      </c>
      <c r="D119" t="s">
        <v>25</v>
      </c>
    </row>
    <row r="120" spans="2:4">
      <c r="B120" t="s">
        <v>507</v>
      </c>
      <c r="C120" t="s">
        <v>779</v>
      </c>
      <c r="D120" t="s">
        <v>25</v>
      </c>
    </row>
    <row r="121" spans="2:4">
      <c r="B121" t="s">
        <v>517</v>
      </c>
      <c r="C121" t="s">
        <v>779</v>
      </c>
      <c r="D121" t="s">
        <v>25</v>
      </c>
    </row>
    <row r="122" spans="2:4">
      <c r="B122" t="s">
        <v>542</v>
      </c>
      <c r="C122" t="s">
        <v>779</v>
      </c>
      <c r="D122" t="s">
        <v>25</v>
      </c>
    </row>
    <row r="123" spans="2:4">
      <c r="B123" t="s">
        <v>523</v>
      </c>
      <c r="C123" t="s">
        <v>779</v>
      </c>
      <c r="D123" t="s">
        <v>25</v>
      </c>
    </row>
    <row r="124" spans="2:4">
      <c r="B124" t="s">
        <v>547</v>
      </c>
      <c r="C124" t="s">
        <v>779</v>
      </c>
      <c r="D124" t="s">
        <v>25</v>
      </c>
    </row>
    <row r="125" spans="2:4">
      <c r="B125" t="s">
        <v>482</v>
      </c>
      <c r="C125" t="s">
        <v>779</v>
      </c>
      <c r="D125" t="s">
        <v>25</v>
      </c>
    </row>
    <row r="126" spans="2:4">
      <c r="B126" t="s">
        <v>467</v>
      </c>
      <c r="C126" t="s">
        <v>779</v>
      </c>
      <c r="D126" t="s">
        <v>25</v>
      </c>
    </row>
    <row r="127" spans="2:4">
      <c r="B127" t="s">
        <v>480</v>
      </c>
      <c r="C127" t="s">
        <v>779</v>
      </c>
      <c r="D127" t="s">
        <v>25</v>
      </c>
    </row>
    <row r="128" spans="2:4">
      <c r="B128" t="s">
        <v>481</v>
      </c>
      <c r="C128" t="s">
        <v>779</v>
      </c>
      <c r="D128" t="s">
        <v>25</v>
      </c>
    </row>
    <row r="129" spans="2:4">
      <c r="B129" t="s">
        <v>466</v>
      </c>
      <c r="C129" t="s">
        <v>779</v>
      </c>
      <c r="D129" t="s">
        <v>25</v>
      </c>
    </row>
    <row r="130" spans="2:4">
      <c r="B130" t="s">
        <v>472</v>
      </c>
      <c r="C130" t="s">
        <v>779</v>
      </c>
      <c r="D130" t="s">
        <v>25</v>
      </c>
    </row>
    <row r="131" spans="2:4">
      <c r="B131" t="s">
        <v>475</v>
      </c>
      <c r="C131" t="s">
        <v>779</v>
      </c>
      <c r="D131" t="s">
        <v>25</v>
      </c>
    </row>
    <row r="132" spans="2:4">
      <c r="B132" t="s">
        <v>477</v>
      </c>
      <c r="C132" t="s">
        <v>779</v>
      </c>
      <c r="D132" t="s">
        <v>25</v>
      </c>
    </row>
    <row r="133" spans="2:4">
      <c r="B133" t="s">
        <v>478</v>
      </c>
      <c r="C133" t="s">
        <v>779</v>
      </c>
      <c r="D133" t="s">
        <v>25</v>
      </c>
    </row>
    <row r="134" spans="2:4">
      <c r="B134" t="s">
        <v>479</v>
      </c>
      <c r="C134" t="s">
        <v>779</v>
      </c>
      <c r="D134" t="s">
        <v>25</v>
      </c>
    </row>
    <row r="135" spans="2:4">
      <c r="B135" t="s">
        <v>473</v>
      </c>
      <c r="C135" t="s">
        <v>779</v>
      </c>
      <c r="D135" t="s">
        <v>25</v>
      </c>
    </row>
    <row r="136" spans="2:4">
      <c r="B136" t="s">
        <v>469</v>
      </c>
      <c r="C136" t="s">
        <v>779</v>
      </c>
      <c r="D136" t="s">
        <v>25</v>
      </c>
    </row>
    <row r="137" spans="2:4">
      <c r="B137" t="s">
        <v>476</v>
      </c>
      <c r="C137" t="s">
        <v>779</v>
      </c>
      <c r="D137" t="s">
        <v>25</v>
      </c>
    </row>
    <row r="138" spans="2:4">
      <c r="B138" t="s">
        <v>474</v>
      </c>
      <c r="C138" t="s">
        <v>779</v>
      </c>
      <c r="D138" t="s">
        <v>25</v>
      </c>
    </row>
    <row r="139" spans="2:4">
      <c r="B139" t="s">
        <v>468</v>
      </c>
      <c r="C139" t="s">
        <v>779</v>
      </c>
      <c r="D139" t="s">
        <v>25</v>
      </c>
    </row>
    <row r="140" spans="2:4">
      <c r="B140" t="s">
        <v>471</v>
      </c>
      <c r="C140" t="s">
        <v>779</v>
      </c>
      <c r="D140" t="s">
        <v>25</v>
      </c>
    </row>
    <row r="141" spans="2:4">
      <c r="B141" t="s">
        <v>470</v>
      </c>
      <c r="C141" t="s">
        <v>779</v>
      </c>
      <c r="D141" t="s">
        <v>25</v>
      </c>
    </row>
    <row r="142" spans="2:4">
      <c r="B142" t="s">
        <v>398</v>
      </c>
      <c r="C142" t="s">
        <v>778</v>
      </c>
      <c r="D142" t="s">
        <v>25</v>
      </c>
    </row>
    <row r="143" spans="2:4">
      <c r="B143" t="s">
        <v>443</v>
      </c>
      <c r="C143" t="s">
        <v>779</v>
      </c>
      <c r="D143" t="s">
        <v>91</v>
      </c>
    </row>
    <row r="144" spans="2:4">
      <c r="B144" t="s">
        <v>396</v>
      </c>
      <c r="C144" t="s">
        <v>778</v>
      </c>
      <c r="D144" t="s">
        <v>25</v>
      </c>
    </row>
    <row r="145" spans="2:4">
      <c r="B145" t="s">
        <v>553</v>
      </c>
      <c r="C145" t="s">
        <v>778</v>
      </c>
      <c r="D145" t="s">
        <v>25</v>
      </c>
    </row>
    <row r="146" spans="2:4">
      <c r="B146" t="s">
        <v>518</v>
      </c>
      <c r="C146" t="s">
        <v>779</v>
      </c>
      <c r="D146" t="s">
        <v>25</v>
      </c>
    </row>
    <row r="147" spans="2:4">
      <c r="B147" t="s">
        <v>417</v>
      </c>
      <c r="C147" t="s">
        <v>779</v>
      </c>
      <c r="D147" t="s">
        <v>25</v>
      </c>
    </row>
    <row r="148" spans="2:4">
      <c r="B148" t="s">
        <v>414</v>
      </c>
      <c r="C148" t="s">
        <v>779</v>
      </c>
      <c r="D148" t="s">
        <v>25</v>
      </c>
    </row>
    <row r="149" spans="2:4">
      <c r="B149" t="s">
        <v>415</v>
      </c>
      <c r="C149" t="s">
        <v>779</v>
      </c>
      <c r="D149" t="s">
        <v>25</v>
      </c>
    </row>
    <row r="150" spans="2:4">
      <c r="B150" t="s">
        <v>416</v>
      </c>
      <c r="C150" t="s">
        <v>779</v>
      </c>
      <c r="D150" t="s">
        <v>25</v>
      </c>
    </row>
    <row r="151" spans="2:4">
      <c r="B151" t="s">
        <v>695</v>
      </c>
      <c r="C151" t="s">
        <v>779</v>
      </c>
      <c r="D151" t="s">
        <v>136</v>
      </c>
    </row>
    <row r="152" spans="2:4">
      <c r="B152" t="s">
        <v>433</v>
      </c>
      <c r="C152" t="s">
        <v>779</v>
      </c>
      <c r="D152" t="s">
        <v>25</v>
      </c>
    </row>
    <row r="153" spans="2:4">
      <c r="B153" t="s">
        <v>431</v>
      </c>
      <c r="C153" t="s">
        <v>779</v>
      </c>
      <c r="D153" t="s">
        <v>25</v>
      </c>
    </row>
    <row r="154" spans="2:4">
      <c r="B154" t="s">
        <v>432</v>
      </c>
      <c r="C154" t="s">
        <v>779</v>
      </c>
      <c r="D154" t="s">
        <v>25</v>
      </c>
    </row>
    <row r="155" spans="2:4">
      <c r="B155" t="s">
        <v>412</v>
      </c>
      <c r="C155" t="s">
        <v>779</v>
      </c>
      <c r="D155" t="s">
        <v>25</v>
      </c>
    </row>
    <row r="156" spans="2:4">
      <c r="B156" t="s">
        <v>413</v>
      </c>
      <c r="C156" t="s">
        <v>779</v>
      </c>
      <c r="D156" t="s">
        <v>25</v>
      </c>
    </row>
    <row r="157" spans="2:4">
      <c r="B157" t="s">
        <v>411</v>
      </c>
      <c r="C157" t="s">
        <v>779</v>
      </c>
      <c r="D157" t="s">
        <v>25</v>
      </c>
    </row>
    <row r="158" spans="2:4">
      <c r="B158" t="s">
        <v>775</v>
      </c>
      <c r="C158" t="s">
        <v>772</v>
      </c>
      <c r="D158" t="s">
        <v>91</v>
      </c>
    </row>
    <row r="159" spans="2:4">
      <c r="B159" t="s">
        <v>437</v>
      </c>
      <c r="C159" t="s">
        <v>779</v>
      </c>
      <c r="D159" t="s">
        <v>25</v>
      </c>
    </row>
    <row r="160" spans="2:4">
      <c r="B160" t="s">
        <v>709</v>
      </c>
      <c r="C160" t="s">
        <v>779</v>
      </c>
      <c r="D160" t="s">
        <v>25</v>
      </c>
    </row>
    <row r="161" spans="2:4">
      <c r="B161" t="s">
        <v>528</v>
      </c>
      <c r="C161" t="s">
        <v>779</v>
      </c>
      <c r="D161" t="s">
        <v>25</v>
      </c>
    </row>
    <row r="162" spans="2:4">
      <c r="B162" t="s">
        <v>700</v>
      </c>
      <c r="C162" t="s">
        <v>779</v>
      </c>
      <c r="D162" t="s">
        <v>25</v>
      </c>
    </row>
    <row r="163" spans="2:4">
      <c r="B163" t="s">
        <v>546</v>
      </c>
      <c r="C163" t="s">
        <v>779</v>
      </c>
      <c r="D163" t="s">
        <v>25</v>
      </c>
    </row>
    <row r="164" spans="2:4">
      <c r="B164" t="s">
        <v>505</v>
      </c>
      <c r="C164" t="s">
        <v>779</v>
      </c>
      <c r="D164" t="s">
        <v>25</v>
      </c>
    </row>
    <row r="165" spans="2:4">
      <c r="B165" t="s">
        <v>712</v>
      </c>
      <c r="C165" t="s">
        <v>779</v>
      </c>
      <c r="D165" t="s">
        <v>25</v>
      </c>
    </row>
    <row r="166" spans="2:4">
      <c r="B166" t="s">
        <v>491</v>
      </c>
      <c r="C166" t="s">
        <v>779</v>
      </c>
      <c r="D166" t="s">
        <v>25</v>
      </c>
    </row>
    <row r="167" spans="2:4">
      <c r="B167" t="s">
        <v>489</v>
      </c>
      <c r="C167" t="s">
        <v>779</v>
      </c>
      <c r="D167" t="s">
        <v>25</v>
      </c>
    </row>
    <row r="168" spans="2:4">
      <c r="B168" t="s">
        <v>537</v>
      </c>
      <c r="C168" t="s">
        <v>779</v>
      </c>
      <c r="D168" t="s">
        <v>25</v>
      </c>
    </row>
    <row r="169" spans="2:4">
      <c r="B169" t="s">
        <v>538</v>
      </c>
      <c r="C169" t="s">
        <v>779</v>
      </c>
      <c r="D169" t="s">
        <v>25</v>
      </c>
    </row>
    <row r="170" spans="2:4">
      <c r="B170" t="s">
        <v>539</v>
      </c>
      <c r="C170" t="s">
        <v>779</v>
      </c>
      <c r="D170" t="s">
        <v>25</v>
      </c>
    </row>
    <row r="171" spans="2:4">
      <c r="B171" t="s">
        <v>551</v>
      </c>
      <c r="C171" t="s">
        <v>779</v>
      </c>
      <c r="D171" t="s">
        <v>25</v>
      </c>
    </row>
    <row r="172" spans="2:4">
      <c r="B172" t="s">
        <v>499</v>
      </c>
      <c r="C172" t="s">
        <v>779</v>
      </c>
      <c r="D172" t="s">
        <v>25</v>
      </c>
    </row>
    <row r="173" spans="2:4">
      <c r="B173" t="s">
        <v>500</v>
      </c>
      <c r="C173" t="s">
        <v>779</v>
      </c>
      <c r="D173" t="s">
        <v>25</v>
      </c>
    </row>
    <row r="174" spans="2:4">
      <c r="B174" t="s">
        <v>501</v>
      </c>
      <c r="C174" t="s">
        <v>779</v>
      </c>
      <c r="D174" t="s">
        <v>25</v>
      </c>
    </row>
    <row r="175" spans="2:4">
      <c r="B175" t="s">
        <v>496</v>
      </c>
      <c r="C175" t="s">
        <v>779</v>
      </c>
      <c r="D175" t="s">
        <v>25</v>
      </c>
    </row>
    <row r="176" spans="2:4">
      <c r="B176" t="s">
        <v>502</v>
      </c>
      <c r="C176" t="s">
        <v>779</v>
      </c>
      <c r="D176" t="s">
        <v>25</v>
      </c>
    </row>
    <row r="177" spans="2:4">
      <c r="B177" t="s">
        <v>503</v>
      </c>
      <c r="C177" t="s">
        <v>779</v>
      </c>
      <c r="D177" t="s">
        <v>25</v>
      </c>
    </row>
    <row r="178" spans="2:4">
      <c r="B178" t="s">
        <v>498</v>
      </c>
      <c r="C178" t="s">
        <v>779</v>
      </c>
      <c r="D178" t="s">
        <v>25</v>
      </c>
    </row>
    <row r="179" spans="2:4">
      <c r="B179" t="s">
        <v>434</v>
      </c>
      <c r="C179" t="s">
        <v>779</v>
      </c>
      <c r="D179" t="s">
        <v>25</v>
      </c>
    </row>
    <row r="180" spans="2:4">
      <c r="B180" t="s">
        <v>541</v>
      </c>
      <c r="C180" t="s">
        <v>779</v>
      </c>
      <c r="D180" t="s">
        <v>25</v>
      </c>
    </row>
    <row r="181" spans="2:4">
      <c r="B181" t="s">
        <v>395</v>
      </c>
      <c r="C181" t="s">
        <v>778</v>
      </c>
      <c r="D181" t="s">
        <v>25</v>
      </c>
    </row>
    <row r="182" spans="2:4">
      <c r="B182" t="s">
        <v>394</v>
      </c>
      <c r="C182" t="s">
        <v>778</v>
      </c>
      <c r="D182" t="s">
        <v>25</v>
      </c>
    </row>
    <row r="183" spans="2:4">
      <c r="B183" t="s">
        <v>422</v>
      </c>
      <c r="C183" t="s">
        <v>779</v>
      </c>
      <c r="D183" t="s">
        <v>25</v>
      </c>
    </row>
    <row r="184" spans="2:4">
      <c r="B184" t="s">
        <v>421</v>
      </c>
      <c r="C184" t="s">
        <v>779</v>
      </c>
      <c r="D184" t="s">
        <v>25</v>
      </c>
    </row>
    <row r="185" spans="2:4">
      <c r="B185" t="s">
        <v>436</v>
      </c>
      <c r="C185" t="s">
        <v>779</v>
      </c>
      <c r="D185" t="s">
        <v>25</v>
      </c>
    </row>
    <row r="186" spans="2:4">
      <c r="B186" t="s">
        <v>435</v>
      </c>
      <c r="C186" t="s">
        <v>779</v>
      </c>
      <c r="D186" t="s">
        <v>25</v>
      </c>
    </row>
    <row r="187" spans="2:4">
      <c r="B187" t="s">
        <v>420</v>
      </c>
      <c r="C187" t="s">
        <v>779</v>
      </c>
      <c r="D187" t="s">
        <v>25</v>
      </c>
    </row>
    <row r="188" spans="2:4">
      <c r="B188" t="s">
        <v>418</v>
      </c>
      <c r="C188" t="s">
        <v>779</v>
      </c>
      <c r="D188" t="s">
        <v>25</v>
      </c>
    </row>
    <row r="189" spans="2:4">
      <c r="B189" t="s">
        <v>419</v>
      </c>
      <c r="C189" t="s">
        <v>779</v>
      </c>
      <c r="D189" t="s">
        <v>25</v>
      </c>
    </row>
    <row r="190" spans="2:4">
      <c r="B190" t="s">
        <v>514</v>
      </c>
      <c r="C190" t="s">
        <v>779</v>
      </c>
      <c r="D190" t="s">
        <v>25</v>
      </c>
    </row>
    <row r="191" spans="2:4">
      <c r="B191" t="s">
        <v>513</v>
      </c>
      <c r="C191" t="s">
        <v>779</v>
      </c>
      <c r="D191" t="s">
        <v>25</v>
      </c>
    </row>
    <row r="192" spans="2:4">
      <c r="B192" t="s">
        <v>511</v>
      </c>
      <c r="C192" t="s">
        <v>779</v>
      </c>
      <c r="D192" t="s">
        <v>25</v>
      </c>
    </row>
    <row r="193" spans="2:4">
      <c r="B193" t="s">
        <v>512</v>
      </c>
      <c r="C193" t="s">
        <v>779</v>
      </c>
      <c r="D193" t="s">
        <v>25</v>
      </c>
    </row>
    <row r="194" spans="2:4">
      <c r="B194" t="s">
        <v>484</v>
      </c>
      <c r="C194" t="s">
        <v>779</v>
      </c>
      <c r="D194" t="s">
        <v>25</v>
      </c>
    </row>
    <row r="195" spans="2:4">
      <c r="B195" t="s">
        <v>485</v>
      </c>
      <c r="C195" t="s">
        <v>779</v>
      </c>
      <c r="D195" t="s">
        <v>25</v>
      </c>
    </row>
    <row r="196" spans="2:4">
      <c r="B196" t="s">
        <v>483</v>
      </c>
      <c r="C196" t="s">
        <v>779</v>
      </c>
      <c r="D196" t="s">
        <v>25</v>
      </c>
    </row>
    <row r="197" spans="2:4">
      <c r="B197" t="s">
        <v>405</v>
      </c>
      <c r="C197" t="s">
        <v>779</v>
      </c>
      <c r="D197" t="s">
        <v>25</v>
      </c>
    </row>
    <row r="198" spans="2:4">
      <c r="B198" t="s">
        <v>407</v>
      </c>
      <c r="C198" t="s">
        <v>779</v>
      </c>
      <c r="D198" t="s">
        <v>25</v>
      </c>
    </row>
    <row r="199" spans="2:4">
      <c r="B199" t="s">
        <v>408</v>
      </c>
      <c r="C199" t="s">
        <v>779</v>
      </c>
      <c r="D199" t="s">
        <v>25</v>
      </c>
    </row>
    <row r="200" spans="2:4">
      <c r="B200" t="s">
        <v>410</v>
      </c>
      <c r="C200" t="s">
        <v>779</v>
      </c>
      <c r="D200" t="s">
        <v>25</v>
      </c>
    </row>
    <row r="201" spans="2:4">
      <c r="B201" t="s">
        <v>409</v>
      </c>
      <c r="C201" t="s">
        <v>779</v>
      </c>
      <c r="D201" t="s">
        <v>25</v>
      </c>
    </row>
    <row r="202" spans="2:4">
      <c r="B202" t="s">
        <v>404</v>
      </c>
      <c r="C202" t="s">
        <v>779</v>
      </c>
      <c r="D202" t="s">
        <v>25</v>
      </c>
    </row>
    <row r="203" spans="2:4">
      <c r="B203" t="s">
        <v>406</v>
      </c>
      <c r="C203" t="s">
        <v>779</v>
      </c>
      <c r="D203" t="s">
        <v>25</v>
      </c>
    </row>
    <row r="204" spans="2:4">
      <c r="B204" t="s">
        <v>403</v>
      </c>
      <c r="C204" t="s">
        <v>779</v>
      </c>
      <c r="D204" t="s">
        <v>25</v>
      </c>
    </row>
    <row r="205" spans="2:4">
      <c r="B205" t="s">
        <v>530</v>
      </c>
      <c r="C205" t="s">
        <v>779</v>
      </c>
      <c r="D205" t="s">
        <v>25</v>
      </c>
    </row>
    <row r="206" spans="2:4">
      <c r="B206" t="s">
        <v>532</v>
      </c>
      <c r="C206" t="s">
        <v>779</v>
      </c>
      <c r="D206" t="s">
        <v>25</v>
      </c>
    </row>
    <row r="207" spans="2:4">
      <c r="B207" t="s">
        <v>508</v>
      </c>
      <c r="C207" t="s">
        <v>779</v>
      </c>
      <c r="D207" t="s">
        <v>25</v>
      </c>
    </row>
    <row r="208" spans="2:4">
      <c r="B208" t="s">
        <v>509</v>
      </c>
      <c r="C208" t="s">
        <v>779</v>
      </c>
      <c r="D208" t="s">
        <v>25</v>
      </c>
    </row>
    <row r="209" spans="2:4">
      <c r="B209" t="s">
        <v>543</v>
      </c>
      <c r="C209" t="s">
        <v>779</v>
      </c>
      <c r="D209" t="s">
        <v>25</v>
      </c>
    </row>
    <row r="210" spans="2:4">
      <c r="B210" t="s">
        <v>442</v>
      </c>
      <c r="C210" t="s">
        <v>779</v>
      </c>
      <c r="D210" t="s">
        <v>25</v>
      </c>
    </row>
    <row r="211" spans="2:4">
      <c r="B211" t="s">
        <v>510</v>
      </c>
      <c r="C211" t="s">
        <v>779</v>
      </c>
      <c r="D211" t="s">
        <v>25</v>
      </c>
    </row>
    <row r="212" spans="2:4">
      <c r="B212" t="s">
        <v>525</v>
      </c>
      <c r="C212" t="s">
        <v>779</v>
      </c>
      <c r="D212" t="s">
        <v>25</v>
      </c>
    </row>
    <row r="213" spans="2:4">
      <c r="B213" t="s">
        <v>540</v>
      </c>
      <c r="C213" t="s">
        <v>779</v>
      </c>
      <c r="D213" t="s">
        <v>25</v>
      </c>
    </row>
    <row r="214" spans="2:4">
      <c r="B214" t="s">
        <v>536</v>
      </c>
      <c r="C214" t="s">
        <v>779</v>
      </c>
      <c r="D214" t="s">
        <v>25</v>
      </c>
    </row>
    <row r="215" spans="2:4">
      <c r="B215" t="s">
        <v>497</v>
      </c>
      <c r="C215" t="s">
        <v>779</v>
      </c>
      <c r="D215" t="s">
        <v>25</v>
      </c>
    </row>
    <row r="216" spans="2:4">
      <c r="B216" t="s">
        <v>400</v>
      </c>
      <c r="C216" t="s">
        <v>778</v>
      </c>
      <c r="D216" t="s">
        <v>25</v>
      </c>
    </row>
    <row r="217" spans="2:4">
      <c r="B217" t="s">
        <v>493</v>
      </c>
      <c r="C217" t="s">
        <v>779</v>
      </c>
      <c r="D217" t="s">
        <v>25</v>
      </c>
    </row>
    <row r="218" spans="2:4">
      <c r="B218" t="s">
        <v>430</v>
      </c>
      <c r="C218" t="s">
        <v>779</v>
      </c>
      <c r="D218" t="s">
        <v>25</v>
      </c>
    </row>
    <row r="219" spans="2:4">
      <c r="B219" t="s">
        <v>429</v>
      </c>
      <c r="C219" t="s">
        <v>779</v>
      </c>
      <c r="D219" t="s">
        <v>25</v>
      </c>
    </row>
    <row r="220" spans="2:4">
      <c r="B220" t="s">
        <v>552</v>
      </c>
      <c r="C220" t="s">
        <v>779</v>
      </c>
      <c r="D220" t="s">
        <v>25</v>
      </c>
    </row>
    <row r="221" spans="2:4">
      <c r="B221" t="s">
        <v>544</v>
      </c>
      <c r="C221" t="s">
        <v>779</v>
      </c>
      <c r="D221" t="s">
        <v>25</v>
      </c>
    </row>
    <row r="222" spans="2:4">
      <c r="B222" t="s">
        <v>531</v>
      </c>
      <c r="C222" t="s">
        <v>779</v>
      </c>
      <c r="D222" t="s">
        <v>25</v>
      </c>
    </row>
    <row r="223" spans="2:4">
      <c r="B223" t="s">
        <v>548</v>
      </c>
      <c r="C223" t="s">
        <v>779</v>
      </c>
      <c r="D223" t="s">
        <v>25</v>
      </c>
    </row>
    <row r="224" spans="2:4">
      <c r="B224" t="s">
        <v>529</v>
      </c>
      <c r="C224" t="s">
        <v>779</v>
      </c>
      <c r="D224" t="s">
        <v>25</v>
      </c>
    </row>
    <row r="225" spans="2:4">
      <c r="B225" t="s">
        <v>424</v>
      </c>
      <c r="C225" t="s">
        <v>779</v>
      </c>
      <c r="D225" t="s">
        <v>25</v>
      </c>
    </row>
    <row r="226" spans="2:4">
      <c r="B226" t="s">
        <v>423</v>
      </c>
      <c r="C226" t="s">
        <v>779</v>
      </c>
      <c r="D226" t="s">
        <v>25</v>
      </c>
    </row>
    <row r="227" spans="2:4">
      <c r="B227" t="s">
        <v>521</v>
      </c>
      <c r="C227" t="s">
        <v>779</v>
      </c>
      <c r="D227" t="s">
        <v>25</v>
      </c>
    </row>
    <row r="228" spans="2:4">
      <c r="B228" t="s">
        <v>461</v>
      </c>
      <c r="C228" t="s">
        <v>779</v>
      </c>
      <c r="D228" t="s">
        <v>25</v>
      </c>
    </row>
    <row r="229" spans="2:4">
      <c r="B229" t="s">
        <v>446</v>
      </c>
      <c r="C229" t="s">
        <v>779</v>
      </c>
      <c r="D229" t="s">
        <v>25</v>
      </c>
    </row>
    <row r="230" spans="2:4">
      <c r="B230" t="s">
        <v>447</v>
      </c>
      <c r="C230" t="s">
        <v>779</v>
      </c>
      <c r="D230" t="s">
        <v>25</v>
      </c>
    </row>
    <row r="231" spans="2:4">
      <c r="B231" t="s">
        <v>448</v>
      </c>
      <c r="C231" t="s">
        <v>779</v>
      </c>
      <c r="D231" t="s">
        <v>25</v>
      </c>
    </row>
    <row r="232" spans="2:4">
      <c r="B232" t="s">
        <v>464</v>
      </c>
      <c r="C232" t="s">
        <v>779</v>
      </c>
      <c r="D232" t="s">
        <v>25</v>
      </c>
    </row>
    <row r="233" spans="2:4">
      <c r="B233" t="s">
        <v>465</v>
      </c>
      <c r="C233" t="s">
        <v>779</v>
      </c>
      <c r="D233" t="s">
        <v>25</v>
      </c>
    </row>
    <row r="234" spans="2:4">
      <c r="B234" t="s">
        <v>457</v>
      </c>
      <c r="C234" t="s">
        <v>779</v>
      </c>
      <c r="D234" t="s">
        <v>25</v>
      </c>
    </row>
    <row r="235" spans="2:4">
      <c r="B235" t="s">
        <v>455</v>
      </c>
      <c r="C235" t="s">
        <v>779</v>
      </c>
      <c r="D235" t="s">
        <v>25</v>
      </c>
    </row>
    <row r="236" spans="2:4">
      <c r="B236" t="s">
        <v>452</v>
      </c>
      <c r="C236" t="s">
        <v>779</v>
      </c>
      <c r="D236" t="s">
        <v>25</v>
      </c>
    </row>
    <row r="237" spans="2:4">
      <c r="B237" t="s">
        <v>460</v>
      </c>
      <c r="C237" t="s">
        <v>779</v>
      </c>
      <c r="D237" t="s">
        <v>25</v>
      </c>
    </row>
    <row r="238" spans="2:4">
      <c r="B238" t="s">
        <v>456</v>
      </c>
      <c r="C238" t="s">
        <v>779</v>
      </c>
      <c r="D238" t="s">
        <v>25</v>
      </c>
    </row>
    <row r="239" spans="2:4">
      <c r="B239" t="s">
        <v>462</v>
      </c>
      <c r="C239" t="s">
        <v>779</v>
      </c>
      <c r="D239" t="s">
        <v>25</v>
      </c>
    </row>
    <row r="240" spans="2:4">
      <c r="B240" t="s">
        <v>463</v>
      </c>
      <c r="C240" t="s">
        <v>779</v>
      </c>
      <c r="D240" t="s">
        <v>25</v>
      </c>
    </row>
    <row r="241" spans="1:5">
      <c r="B241" t="s">
        <v>458</v>
      </c>
      <c r="C241" t="s">
        <v>779</v>
      </c>
      <c r="D241" t="s">
        <v>25</v>
      </c>
    </row>
    <row r="242" spans="1:5">
      <c r="B242" t="s">
        <v>451</v>
      </c>
      <c r="C242" t="s">
        <v>779</v>
      </c>
      <c r="D242" t="s">
        <v>25</v>
      </c>
    </row>
    <row r="243" spans="1:5">
      <c r="B243" t="s">
        <v>450</v>
      </c>
      <c r="C243" t="s">
        <v>779</v>
      </c>
      <c r="D243" t="s">
        <v>25</v>
      </c>
    </row>
    <row r="244" spans="1:5">
      <c r="B244" t="s">
        <v>444</v>
      </c>
      <c r="C244" t="s">
        <v>779</v>
      </c>
      <c r="D244" t="s">
        <v>25</v>
      </c>
    </row>
    <row r="245" spans="1:5">
      <c r="B245" t="s">
        <v>453</v>
      </c>
      <c r="C245" t="s">
        <v>779</v>
      </c>
      <c r="D245" t="s">
        <v>25</v>
      </c>
    </row>
    <row r="246" spans="1:5">
      <c r="B246" t="s">
        <v>449</v>
      </c>
      <c r="C246" t="s">
        <v>779</v>
      </c>
      <c r="D246" t="s">
        <v>25</v>
      </c>
    </row>
    <row r="247" spans="1:5">
      <c r="B247" t="s">
        <v>454</v>
      </c>
      <c r="C247" t="s">
        <v>779</v>
      </c>
      <c r="D247" t="s">
        <v>25</v>
      </c>
    </row>
    <row r="248" spans="1:5">
      <c r="B248" t="s">
        <v>459</v>
      </c>
      <c r="C248" t="s">
        <v>779</v>
      </c>
      <c r="D248" t="s">
        <v>25</v>
      </c>
    </row>
    <row r="249" spans="1:5">
      <c r="B249" t="s">
        <v>445</v>
      </c>
      <c r="C249" t="s">
        <v>779</v>
      </c>
      <c r="D249" t="s">
        <v>25</v>
      </c>
    </row>
    <row r="250" spans="1:5">
      <c r="A250" t="s">
        <v>787</v>
      </c>
      <c r="B250" t="s">
        <v>44</v>
      </c>
      <c r="C250" t="s">
        <v>777</v>
      </c>
      <c r="D250" t="s">
        <v>25</v>
      </c>
    </row>
    <row r="251" spans="1:5">
      <c r="B251" t="s">
        <v>689</v>
      </c>
      <c r="C251" t="s">
        <v>770</v>
      </c>
      <c r="D251" t="s">
        <v>25</v>
      </c>
    </row>
    <row r="252" spans="1:5">
      <c r="A252" t="s">
        <v>109</v>
      </c>
      <c r="B252" t="s">
        <v>200</v>
      </c>
      <c r="C252" t="s">
        <v>772</v>
      </c>
      <c r="D252" t="s">
        <v>136</v>
      </c>
      <c r="E252">
        <v>3</v>
      </c>
    </row>
    <row r="253" spans="1:5">
      <c r="B253" t="s">
        <v>788</v>
      </c>
      <c r="C253" t="s">
        <v>772</v>
      </c>
      <c r="D253" t="s">
        <v>136</v>
      </c>
      <c r="E253">
        <v>3</v>
      </c>
    </row>
    <row r="254" spans="1:5">
      <c r="B254" t="s">
        <v>210</v>
      </c>
      <c r="C254" t="s">
        <v>772</v>
      </c>
      <c r="D254" t="s">
        <v>136</v>
      </c>
      <c r="E254">
        <v>3</v>
      </c>
    </row>
    <row r="255" spans="1:5">
      <c r="B255" t="s">
        <v>214</v>
      </c>
      <c r="C255" t="s">
        <v>772</v>
      </c>
      <c r="D255" t="s">
        <v>136</v>
      </c>
      <c r="E255">
        <v>3</v>
      </c>
    </row>
    <row r="256" spans="1:5">
      <c r="B256" t="s">
        <v>206</v>
      </c>
      <c r="C256" t="s">
        <v>772</v>
      </c>
      <c r="D256" t="s">
        <v>136</v>
      </c>
      <c r="E256">
        <v>3</v>
      </c>
    </row>
    <row r="257" spans="1:5">
      <c r="A257" t="s">
        <v>789</v>
      </c>
      <c r="B257" t="s">
        <v>154</v>
      </c>
      <c r="C257" t="s">
        <v>782</v>
      </c>
      <c r="E257">
        <v>3</v>
      </c>
    </row>
    <row r="258" spans="1:5">
      <c r="A258" t="s">
        <v>790</v>
      </c>
      <c r="B258" t="s">
        <v>365</v>
      </c>
      <c r="C258" t="s">
        <v>782</v>
      </c>
    </row>
    <row r="259" spans="1:5">
      <c r="B259" t="s">
        <v>227</v>
      </c>
      <c r="C259" t="s">
        <v>770</v>
      </c>
      <c r="D259" t="s">
        <v>136</v>
      </c>
      <c r="E259">
        <v>3</v>
      </c>
    </row>
    <row r="260" spans="1:5">
      <c r="B260" t="s">
        <v>791</v>
      </c>
      <c r="C260" t="s">
        <v>770</v>
      </c>
      <c r="D260" t="s">
        <v>136</v>
      </c>
      <c r="E260">
        <v>3</v>
      </c>
    </row>
    <row r="261" spans="1:5">
      <c r="B261" t="s">
        <v>253</v>
      </c>
      <c r="C261" t="s">
        <v>782</v>
      </c>
      <c r="E261">
        <v>3</v>
      </c>
    </row>
    <row r="262" spans="1:5">
      <c r="B262" t="s">
        <v>246</v>
      </c>
      <c r="C262" t="s">
        <v>778</v>
      </c>
      <c r="D262" t="s">
        <v>136</v>
      </c>
      <c r="E262">
        <v>3</v>
      </c>
    </row>
    <row r="263" spans="1:5">
      <c r="B263" t="s">
        <v>242</v>
      </c>
      <c r="C263" t="s">
        <v>782</v>
      </c>
      <c r="E263">
        <v>3</v>
      </c>
    </row>
    <row r="264" spans="1:5">
      <c r="A264" t="s">
        <v>792</v>
      </c>
      <c r="B264" t="s">
        <v>300</v>
      </c>
      <c r="C264" t="s">
        <v>778</v>
      </c>
      <c r="D264" t="s">
        <v>136</v>
      </c>
    </row>
    <row r="265" spans="1:5">
      <c r="A265" t="s">
        <v>793</v>
      </c>
      <c r="B265" t="s">
        <v>86</v>
      </c>
      <c r="C265" t="s">
        <v>770</v>
      </c>
      <c r="D265" t="s">
        <v>25</v>
      </c>
      <c r="E265">
        <v>3</v>
      </c>
    </row>
    <row r="266" spans="1:5">
      <c r="A266" t="s">
        <v>794</v>
      </c>
      <c r="B266" t="s">
        <v>36</v>
      </c>
      <c r="C266" t="s">
        <v>772</v>
      </c>
      <c r="D266" t="s">
        <v>25</v>
      </c>
    </row>
    <row r="267" spans="1:5">
      <c r="B267" t="s">
        <v>795</v>
      </c>
      <c r="C267" t="s">
        <v>770</v>
      </c>
      <c r="D267" t="s">
        <v>136</v>
      </c>
    </row>
    <row r="268" spans="1:5">
      <c r="A268" t="s">
        <v>796</v>
      </c>
      <c r="B268" t="s">
        <v>556</v>
      </c>
      <c r="C268" t="s">
        <v>779</v>
      </c>
      <c r="D268" t="s">
        <v>91</v>
      </c>
    </row>
    <row r="269" spans="1:5">
      <c r="B269" t="s">
        <v>797</v>
      </c>
      <c r="C269" t="s">
        <v>779</v>
      </c>
      <c r="D269" t="s">
        <v>25</v>
      </c>
    </row>
    <row r="270" spans="1:5">
      <c r="B270" t="s">
        <v>565</v>
      </c>
      <c r="C270" t="s">
        <v>782</v>
      </c>
    </row>
    <row r="271" spans="1:5">
      <c r="B271" t="s">
        <v>554</v>
      </c>
      <c r="C271" t="s">
        <v>770</v>
      </c>
      <c r="D271" t="s">
        <v>91</v>
      </c>
    </row>
    <row r="272" spans="1:5">
      <c r="B272" t="s">
        <v>604</v>
      </c>
      <c r="C272" t="s">
        <v>779</v>
      </c>
      <c r="D272" t="s">
        <v>25</v>
      </c>
    </row>
    <row r="273" spans="1:4">
      <c r="B273" t="s">
        <v>568</v>
      </c>
      <c r="C273" t="s">
        <v>779</v>
      </c>
      <c r="D273" t="s">
        <v>25</v>
      </c>
    </row>
    <row r="274" spans="1:4">
      <c r="B274" t="s">
        <v>572</v>
      </c>
      <c r="C274" t="s">
        <v>782</v>
      </c>
    </row>
    <row r="275" spans="1:4">
      <c r="B275" t="s">
        <v>576</v>
      </c>
      <c r="C275" t="s">
        <v>782</v>
      </c>
    </row>
    <row r="276" spans="1:4">
      <c r="B276" t="s">
        <v>580</v>
      </c>
      <c r="C276" t="s">
        <v>782</v>
      </c>
    </row>
    <row r="277" spans="1:4">
      <c r="B277" t="s">
        <v>584</v>
      </c>
      <c r="C277" t="s">
        <v>782</v>
      </c>
    </row>
    <row r="278" spans="1:4">
      <c r="B278" t="s">
        <v>588</v>
      </c>
      <c r="C278" t="s">
        <v>782</v>
      </c>
    </row>
    <row r="279" spans="1:4">
      <c r="B279" t="s">
        <v>592</v>
      </c>
      <c r="C279" t="s">
        <v>770</v>
      </c>
      <c r="D279" t="s">
        <v>25</v>
      </c>
    </row>
    <row r="280" spans="1:4">
      <c r="B280" t="s">
        <v>620</v>
      </c>
      <c r="C280" t="s">
        <v>782</v>
      </c>
    </row>
    <row r="281" spans="1:4">
      <c r="B281" t="s">
        <v>596</v>
      </c>
      <c r="C281" t="s">
        <v>782</v>
      </c>
    </row>
    <row r="282" spans="1:4">
      <c r="B282" t="s">
        <v>600</v>
      </c>
      <c r="C282" t="s">
        <v>779</v>
      </c>
      <c r="D282" t="s">
        <v>25</v>
      </c>
    </row>
    <row r="283" spans="1:4">
      <c r="B283" t="s">
        <v>614</v>
      </c>
      <c r="C283" t="s">
        <v>779</v>
      </c>
      <c r="D283" t="s">
        <v>25</v>
      </c>
    </row>
    <row r="284" spans="1:4">
      <c r="B284" t="s">
        <v>608</v>
      </c>
      <c r="C284" t="s">
        <v>779</v>
      </c>
      <c r="D284" t="s">
        <v>25</v>
      </c>
    </row>
    <row r="285" spans="1:4">
      <c r="B285" t="s">
        <v>610</v>
      </c>
      <c r="C285" t="s">
        <v>779</v>
      </c>
      <c r="D285" t="s">
        <v>25</v>
      </c>
    </row>
    <row r="286" spans="1:4">
      <c r="B286" t="s">
        <v>612</v>
      </c>
      <c r="C286" t="s">
        <v>779</v>
      </c>
      <c r="D286" t="s">
        <v>25</v>
      </c>
    </row>
    <row r="287" spans="1:4">
      <c r="B287" t="s">
        <v>616</v>
      </c>
      <c r="C287" t="s">
        <v>779</v>
      </c>
      <c r="D287" t="s">
        <v>25</v>
      </c>
    </row>
    <row r="288" spans="1:4">
      <c r="A288" t="s">
        <v>136</v>
      </c>
      <c r="B288" t="s">
        <v>300</v>
      </c>
      <c r="C288" t="s">
        <v>782</v>
      </c>
    </row>
    <row r="289" spans="1:5">
      <c r="B289" t="s">
        <v>798</v>
      </c>
      <c r="C289" t="s">
        <v>779</v>
      </c>
      <c r="D289" t="s">
        <v>136</v>
      </c>
    </row>
    <row r="290" spans="1:5">
      <c r="B290" t="s">
        <v>267</v>
      </c>
      <c r="C290" t="s">
        <v>782</v>
      </c>
      <c r="E290">
        <v>3</v>
      </c>
    </row>
    <row r="291" spans="1:5">
      <c r="B291" t="s">
        <v>370</v>
      </c>
      <c r="C291" t="s">
        <v>772</v>
      </c>
      <c r="D291" t="s">
        <v>136</v>
      </c>
      <c r="E291">
        <v>3</v>
      </c>
    </row>
    <row r="292" spans="1:5">
      <c r="B292" t="s">
        <v>218</v>
      </c>
      <c r="C292" t="s">
        <v>772</v>
      </c>
      <c r="D292" t="s">
        <v>136</v>
      </c>
      <c r="E292">
        <v>3</v>
      </c>
    </row>
    <row r="293" spans="1:5">
      <c r="B293" t="s">
        <v>146</v>
      </c>
      <c r="C293" t="s">
        <v>770</v>
      </c>
      <c r="D293" t="s">
        <v>136</v>
      </c>
      <c r="E293">
        <v>3</v>
      </c>
    </row>
    <row r="294" spans="1:5">
      <c r="A294" t="s">
        <v>799</v>
      </c>
      <c r="B294" t="s">
        <v>641</v>
      </c>
      <c r="C294" t="s">
        <v>779</v>
      </c>
      <c r="D294" t="s">
        <v>25</v>
      </c>
    </row>
    <row r="295" spans="1:5">
      <c r="A295" t="s">
        <v>800</v>
      </c>
      <c r="B295" t="s">
        <v>669</v>
      </c>
      <c r="C295" t="s">
        <v>779</v>
      </c>
      <c r="D295" t="s">
        <v>91</v>
      </c>
    </row>
    <row r="296" spans="1:5">
      <c r="B296" t="s">
        <v>674</v>
      </c>
      <c r="C296" t="s">
        <v>779</v>
      </c>
      <c r="D296" t="s">
        <v>91</v>
      </c>
    </row>
    <row r="297" spans="1:5">
      <c r="B297" t="s">
        <v>641</v>
      </c>
      <c r="C297" t="s">
        <v>779</v>
      </c>
      <c r="D297" t="s">
        <v>91</v>
      </c>
    </row>
    <row r="298" spans="1:5">
      <c r="B298" t="s">
        <v>670</v>
      </c>
      <c r="C298" t="s">
        <v>779</v>
      </c>
      <c r="D298" t="s">
        <v>91</v>
      </c>
    </row>
    <row r="299" spans="1:5">
      <c r="B299" t="s">
        <v>665</v>
      </c>
      <c r="C299" t="s">
        <v>782</v>
      </c>
    </row>
    <row r="300" spans="1:5">
      <c r="B300" t="s">
        <v>672</v>
      </c>
      <c r="C300" t="s">
        <v>779</v>
      </c>
      <c r="D300" t="s">
        <v>91</v>
      </c>
    </row>
    <row r="301" spans="1:5">
      <c r="B301" t="s">
        <v>671</v>
      </c>
      <c r="C301" t="s">
        <v>779</v>
      </c>
      <c r="D301" t="s">
        <v>91</v>
      </c>
    </row>
    <row r="302" spans="1:5">
      <c r="B302" t="s">
        <v>673</v>
      </c>
      <c r="C302" t="s">
        <v>779</v>
      </c>
      <c r="D302" t="s">
        <v>91</v>
      </c>
    </row>
    <row r="303" spans="1:5">
      <c r="B303" t="s">
        <v>666</v>
      </c>
      <c r="C303" t="s">
        <v>782</v>
      </c>
    </row>
    <row r="304" spans="1:5">
      <c r="B304" t="s">
        <v>668</v>
      </c>
      <c r="C304" t="s">
        <v>782</v>
      </c>
    </row>
    <row r="305" spans="1:5">
      <c r="B305" t="s">
        <v>675</v>
      </c>
      <c r="C305" t="s">
        <v>779</v>
      </c>
      <c r="D305" t="s">
        <v>91</v>
      </c>
    </row>
    <row r="306" spans="1:5">
      <c r="B306" t="s">
        <v>676</v>
      </c>
      <c r="C306" t="s">
        <v>779</v>
      </c>
      <c r="D306" t="s">
        <v>91</v>
      </c>
    </row>
    <row r="307" spans="1:5">
      <c r="B307" t="s">
        <v>677</v>
      </c>
      <c r="C307" t="s">
        <v>779</v>
      </c>
      <c r="D307" t="s">
        <v>91</v>
      </c>
    </row>
    <row r="308" spans="1:5">
      <c r="B308" t="s">
        <v>678</v>
      </c>
      <c r="C308" t="s">
        <v>779</v>
      </c>
      <c r="D308" t="s">
        <v>91</v>
      </c>
    </row>
    <row r="309" spans="1:5">
      <c r="B309" t="s">
        <v>679</v>
      </c>
      <c r="C309" t="s">
        <v>778</v>
      </c>
      <c r="D309" t="s">
        <v>91</v>
      </c>
    </row>
    <row r="310" spans="1:5">
      <c r="A310" t="s">
        <v>801</v>
      </c>
      <c r="B310" t="s">
        <v>652</v>
      </c>
      <c r="C310" t="s">
        <v>779</v>
      </c>
      <c r="D310" t="s">
        <v>91</v>
      </c>
    </row>
    <row r="311" spans="1:5">
      <c r="B311" t="s">
        <v>661</v>
      </c>
      <c r="C311" t="s">
        <v>770</v>
      </c>
      <c r="D311" t="s">
        <v>91</v>
      </c>
    </row>
    <row r="312" spans="1:5">
      <c r="B312" t="s">
        <v>655</v>
      </c>
      <c r="C312" t="s">
        <v>782</v>
      </c>
    </row>
    <row r="313" spans="1:5">
      <c r="B313" t="s">
        <v>802</v>
      </c>
      <c r="C313" t="s">
        <v>782</v>
      </c>
    </row>
    <row r="314" spans="1:5">
      <c r="B314" t="s">
        <v>649</v>
      </c>
      <c r="C314" t="s">
        <v>782</v>
      </c>
    </row>
    <row r="315" spans="1:5">
      <c r="B315" t="s">
        <v>803</v>
      </c>
      <c r="C315" t="s">
        <v>782</v>
      </c>
    </row>
    <row r="316" spans="1:5">
      <c r="B316" t="s">
        <v>639</v>
      </c>
      <c r="C316" t="s">
        <v>779</v>
      </c>
      <c r="D316" t="s">
        <v>91</v>
      </c>
    </row>
    <row r="317" spans="1:5">
      <c r="B317" t="s">
        <v>804</v>
      </c>
      <c r="C317" t="s">
        <v>779</v>
      </c>
      <c r="D317" t="s">
        <v>91</v>
      </c>
    </row>
    <row r="318" spans="1:5">
      <c r="B318" t="s">
        <v>662</v>
      </c>
      <c r="C318" t="s">
        <v>782</v>
      </c>
    </row>
    <row r="319" spans="1:5">
      <c r="A319" t="s">
        <v>805</v>
      </c>
      <c r="B319" t="s">
        <v>294</v>
      </c>
      <c r="C319" t="s">
        <v>778</v>
      </c>
      <c r="D319" t="s">
        <v>136</v>
      </c>
      <c r="E319">
        <v>3</v>
      </c>
    </row>
    <row r="320" spans="1:5">
      <c r="B320" t="s">
        <v>116</v>
      </c>
      <c r="C320" t="s">
        <v>770</v>
      </c>
      <c r="D320" t="s">
        <v>91</v>
      </c>
    </row>
    <row r="321" spans="1:5">
      <c r="B321" t="s">
        <v>298</v>
      </c>
      <c r="C321" t="s">
        <v>779</v>
      </c>
      <c r="D321" t="s">
        <v>136</v>
      </c>
      <c r="E321">
        <v>3</v>
      </c>
    </row>
    <row r="322" spans="1:5">
      <c r="B322" t="s">
        <v>135</v>
      </c>
      <c r="C322" t="s">
        <v>770</v>
      </c>
      <c r="D322" t="s">
        <v>136</v>
      </c>
      <c r="E322">
        <v>3</v>
      </c>
    </row>
    <row r="323" spans="1:5">
      <c r="B323" t="s">
        <v>238</v>
      </c>
      <c r="C323" t="s">
        <v>770</v>
      </c>
      <c r="D323" t="s">
        <v>136</v>
      </c>
      <c r="E323">
        <v>3</v>
      </c>
    </row>
    <row r="324" spans="1:5">
      <c r="B324" t="s">
        <v>250</v>
      </c>
      <c r="C324" t="s">
        <v>782</v>
      </c>
      <c r="E324">
        <v>3</v>
      </c>
    </row>
    <row r="325" spans="1:5">
      <c r="A325" t="s">
        <v>806</v>
      </c>
      <c r="B325" t="s">
        <v>631</v>
      </c>
      <c r="C325" t="s">
        <v>779</v>
      </c>
      <c r="D325" t="s">
        <v>25</v>
      </c>
    </row>
    <row r="326" spans="1:5">
      <c r="B326" t="s">
        <v>637</v>
      </c>
      <c r="C326" t="s">
        <v>779</v>
      </c>
      <c r="D326" t="s">
        <v>25</v>
      </c>
    </row>
    <row r="327" spans="1:5">
      <c r="B327" t="s">
        <v>636</v>
      </c>
      <c r="C327" t="s">
        <v>779</v>
      </c>
      <c r="D327" t="s">
        <v>25</v>
      </c>
    </row>
    <row r="328" spans="1:5">
      <c r="B328" t="s">
        <v>624</v>
      </c>
      <c r="C328" t="s">
        <v>779</v>
      </c>
      <c r="D328" t="s">
        <v>25</v>
      </c>
    </row>
    <row r="329" spans="1:5">
      <c r="B329" t="s">
        <v>625</v>
      </c>
      <c r="C329" t="s">
        <v>779</v>
      </c>
      <c r="D329" t="s">
        <v>25</v>
      </c>
    </row>
    <row r="330" spans="1:5">
      <c r="B330" t="s">
        <v>626</v>
      </c>
      <c r="C330" t="s">
        <v>779</v>
      </c>
      <c r="D330" t="s">
        <v>25</v>
      </c>
    </row>
    <row r="331" spans="1:5">
      <c r="B331" t="s">
        <v>630</v>
      </c>
      <c r="C331" t="s">
        <v>779</v>
      </c>
      <c r="D331" t="s">
        <v>25</v>
      </c>
    </row>
    <row r="332" spans="1:5">
      <c r="B332" t="s">
        <v>627</v>
      </c>
      <c r="C332" t="s">
        <v>779</v>
      </c>
      <c r="D332" t="s">
        <v>25</v>
      </c>
    </row>
    <row r="333" spans="1:5">
      <c r="B333" t="s">
        <v>628</v>
      </c>
      <c r="C333" t="s">
        <v>779</v>
      </c>
      <c r="D333" t="s">
        <v>25</v>
      </c>
    </row>
    <row r="334" spans="1:5">
      <c r="B334" t="s">
        <v>629</v>
      </c>
      <c r="C334" t="s">
        <v>779</v>
      </c>
      <c r="D334" t="s">
        <v>25</v>
      </c>
    </row>
    <row r="335" spans="1:5">
      <c r="B335" t="s">
        <v>638</v>
      </c>
      <c r="C335" t="s">
        <v>779</v>
      </c>
      <c r="D335" t="s">
        <v>25</v>
      </c>
    </row>
    <row r="336" spans="1:5">
      <c r="A336" t="s">
        <v>807</v>
      </c>
      <c r="B336" t="s">
        <v>632</v>
      </c>
      <c r="C336" t="s">
        <v>779</v>
      </c>
      <c r="D336" t="s">
        <v>25</v>
      </c>
      <c r="E336">
        <v>3</v>
      </c>
    </row>
    <row r="337" spans="1:5">
      <c r="A337" t="s">
        <v>808</v>
      </c>
      <c r="B337" t="s">
        <v>307</v>
      </c>
      <c r="C337" t="s">
        <v>779</v>
      </c>
      <c r="D337" t="s">
        <v>91</v>
      </c>
    </row>
    <row r="338" spans="1:5">
      <c r="A338" t="s">
        <v>809</v>
      </c>
      <c r="B338" t="s">
        <v>285</v>
      </c>
      <c r="C338" t="s">
        <v>782</v>
      </c>
    </row>
    <row r="339" spans="1:5">
      <c r="A339" t="s">
        <v>810</v>
      </c>
      <c r="B339" t="s">
        <v>163</v>
      </c>
      <c r="C339" t="s">
        <v>782</v>
      </c>
    </row>
    <row r="340" spans="1:5">
      <c r="A340" t="s">
        <v>811</v>
      </c>
      <c r="B340" t="s">
        <v>257</v>
      </c>
      <c r="C340" t="s">
        <v>782</v>
      </c>
      <c r="E340">
        <v>3</v>
      </c>
    </row>
    <row r="341" spans="1:5">
      <c r="A341" t="s">
        <v>812</v>
      </c>
      <c r="B341" t="s">
        <v>813</v>
      </c>
      <c r="C341" t="s">
        <v>770</v>
      </c>
      <c r="D341" t="s">
        <v>25</v>
      </c>
    </row>
    <row r="342" spans="1:5">
      <c r="B342" t="s">
        <v>814</v>
      </c>
      <c r="C342" t="s">
        <v>782</v>
      </c>
    </row>
    <row r="343" spans="1:5">
      <c r="B343" t="s">
        <v>815</v>
      </c>
      <c r="C343" t="s">
        <v>777</v>
      </c>
      <c r="D343" t="s">
        <v>136</v>
      </c>
    </row>
    <row r="344" spans="1:5">
      <c r="B344" t="s">
        <v>619</v>
      </c>
      <c r="C344" t="s">
        <v>779</v>
      </c>
      <c r="D344" t="s">
        <v>25</v>
      </c>
    </row>
    <row r="345" spans="1:5">
      <c r="B345" t="s">
        <v>707</v>
      </c>
      <c r="C345" t="s">
        <v>770</v>
      </c>
      <c r="D345" t="s">
        <v>25</v>
      </c>
    </row>
    <row r="346" spans="1:5">
      <c r="A346" t="s">
        <v>816</v>
      </c>
      <c r="C346"/>
      <c r="E346">
        <v>84</v>
      </c>
    </row>
    <row r="347" spans="1:5">
      <c r="C347"/>
    </row>
    <row r="348" spans="1:5">
      <c r="C348"/>
    </row>
    <row r="349" spans="1:5">
      <c r="C349"/>
    </row>
    <row r="350" spans="1:5">
      <c r="C350"/>
    </row>
    <row r="351" spans="1:5">
      <c r="C351"/>
    </row>
    <row r="352" spans="1:5">
      <c r="C352"/>
    </row>
    <row r="353" spans="3:3">
      <c r="C353"/>
    </row>
    <row r="354" spans="3:3">
      <c r="C354"/>
    </row>
  </sheetData>
  <pageMargins left="0.7" right="0.7" top="0.75" bottom="0.75" header="0.3" footer="0.3"/>
  <pageSetup paperSize="8" fitToHeight="0"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B1B2-6832-4A87-9928-27ED14493668}">
  <dimension ref="A1:BR41"/>
  <sheetViews>
    <sheetView workbookViewId="0">
      <pane xSplit="1" topLeftCell="BI1" activePane="topRight" state="frozen"/>
      <selection pane="topRight" activeCell="BP40" sqref="BP40"/>
    </sheetView>
  </sheetViews>
  <sheetFormatPr defaultRowHeight="15"/>
  <cols>
    <col min="1" max="1" width="42" bestFit="1" customWidth="1"/>
    <col min="2" max="2" width="12.42578125" customWidth="1"/>
    <col min="39" max="39" width="11.85546875" bestFit="1" customWidth="1"/>
    <col min="40" max="40" width="24.7109375" bestFit="1" customWidth="1"/>
    <col min="41" max="41" width="18.140625" bestFit="1" customWidth="1"/>
    <col min="42" max="42" width="22.85546875" bestFit="1" customWidth="1"/>
    <col min="43" max="43" width="37.5703125" bestFit="1" customWidth="1"/>
    <col min="44" max="44" width="22.85546875" bestFit="1" customWidth="1"/>
    <col min="45" max="45" width="26.42578125" bestFit="1" customWidth="1"/>
    <col min="46" max="46" width="23.28515625" bestFit="1" customWidth="1"/>
    <col min="47" max="47" width="32.42578125" bestFit="1" customWidth="1"/>
    <col min="48" max="48" width="16" bestFit="1" customWidth="1"/>
    <col min="49" max="49" width="14.42578125" bestFit="1" customWidth="1"/>
    <col min="50" max="50" width="22.42578125" bestFit="1" customWidth="1"/>
    <col min="51" max="51" width="14.140625" bestFit="1" customWidth="1"/>
    <col min="52" max="52" width="27.42578125" bestFit="1" customWidth="1"/>
    <col min="53" max="53" width="23.140625" bestFit="1" customWidth="1"/>
    <col min="54" max="54" width="26.28515625" bestFit="1" customWidth="1"/>
    <col min="55" max="55" width="31.85546875" bestFit="1" customWidth="1"/>
    <col min="56" max="56" width="24.85546875" bestFit="1" customWidth="1"/>
    <col min="57" max="57" width="34.85546875" bestFit="1" customWidth="1"/>
    <col min="58" max="58" width="22.5703125" bestFit="1" customWidth="1"/>
    <col min="59" max="59" width="26" bestFit="1" customWidth="1"/>
    <col min="60" max="60" width="34.5703125" bestFit="1" customWidth="1"/>
    <col min="61" max="61" width="13.7109375" bestFit="1" customWidth="1"/>
    <col min="62" max="62" width="18.5703125" bestFit="1" customWidth="1"/>
    <col min="63" max="63" width="22.5703125" bestFit="1" customWidth="1"/>
    <col min="64" max="64" width="45.28515625" bestFit="1" customWidth="1"/>
    <col min="65" max="65" width="25.7109375" bestFit="1" customWidth="1"/>
    <col min="66" max="66" width="11.42578125" bestFit="1" customWidth="1"/>
    <col min="67" max="67" width="20.42578125" bestFit="1" customWidth="1"/>
    <col min="68" max="68" width="19.7109375" bestFit="1" customWidth="1"/>
    <col min="69" max="69" width="15.28515625" bestFit="1" customWidth="1"/>
    <col min="70" max="70" width="28.7109375" bestFit="1" customWidth="1"/>
  </cols>
  <sheetData>
    <row r="1" spans="1:70">
      <c r="A1" s="2" t="s">
        <v>817</v>
      </c>
      <c r="B1" s="2" t="s">
        <v>818</v>
      </c>
      <c r="C1" s="2" t="s">
        <v>819</v>
      </c>
      <c r="D1" s="2" t="s">
        <v>820</v>
      </c>
      <c r="E1" s="2" t="s">
        <v>821</v>
      </c>
      <c r="F1" s="2" t="s">
        <v>822</v>
      </c>
      <c r="G1" s="2" t="s">
        <v>823</v>
      </c>
      <c r="H1" s="2" t="s">
        <v>824</v>
      </c>
      <c r="I1" s="2" t="s">
        <v>825</v>
      </c>
      <c r="J1" s="2" t="s">
        <v>826</v>
      </c>
      <c r="K1" s="2" t="s">
        <v>827</v>
      </c>
      <c r="L1" s="2" t="s">
        <v>828</v>
      </c>
      <c r="M1" s="2" t="s">
        <v>829</v>
      </c>
      <c r="N1" s="2" t="s">
        <v>830</v>
      </c>
      <c r="O1" s="2" t="s">
        <v>831</v>
      </c>
      <c r="P1" s="2" t="s">
        <v>832</v>
      </c>
      <c r="Q1" s="2" t="s">
        <v>833</v>
      </c>
      <c r="R1" s="2" t="s">
        <v>834</v>
      </c>
      <c r="S1" s="2" t="s">
        <v>835</v>
      </c>
      <c r="T1" s="2" t="s">
        <v>836</v>
      </c>
      <c r="U1" s="2" t="s">
        <v>837</v>
      </c>
      <c r="V1" s="2" t="s">
        <v>838</v>
      </c>
      <c r="W1" s="2" t="s">
        <v>839</v>
      </c>
      <c r="X1" s="2" t="s">
        <v>840</v>
      </c>
      <c r="Y1" s="2" t="s">
        <v>841</v>
      </c>
      <c r="Z1" s="2" t="s">
        <v>842</v>
      </c>
      <c r="AA1" s="2" t="s">
        <v>843</v>
      </c>
      <c r="AB1" s="2" t="s">
        <v>844</v>
      </c>
      <c r="AC1" s="2" t="s">
        <v>845</v>
      </c>
      <c r="AD1" s="2" t="s">
        <v>846</v>
      </c>
      <c r="AE1" s="2" t="s">
        <v>847</v>
      </c>
      <c r="AF1" s="2" t="s">
        <v>848</v>
      </c>
      <c r="AG1" s="2" t="s">
        <v>849</v>
      </c>
      <c r="AH1" s="2" t="s">
        <v>850</v>
      </c>
      <c r="AI1" s="2" t="s">
        <v>851</v>
      </c>
      <c r="AJ1" s="2" t="s">
        <v>852</v>
      </c>
      <c r="AK1" s="2" t="s">
        <v>853</v>
      </c>
      <c r="AL1" s="2" t="s">
        <v>854</v>
      </c>
      <c r="AM1" t="s">
        <v>855</v>
      </c>
      <c r="AN1" s="2" t="s">
        <v>856</v>
      </c>
      <c r="AO1" s="2" t="s">
        <v>857</v>
      </c>
      <c r="AP1" s="2" t="s">
        <v>858</v>
      </c>
      <c r="AQ1" s="2" t="s">
        <v>859</v>
      </c>
      <c r="AR1" s="2" t="s">
        <v>860</v>
      </c>
      <c r="AS1" s="2" t="s">
        <v>861</v>
      </c>
      <c r="AT1" s="2" t="s">
        <v>862</v>
      </c>
      <c r="AU1" s="2" t="s">
        <v>863</v>
      </c>
      <c r="AV1" s="2" t="s">
        <v>864</v>
      </c>
      <c r="AW1" s="2" t="s">
        <v>865</v>
      </c>
      <c r="AX1" s="2" t="s">
        <v>866</v>
      </c>
      <c r="AY1" s="2" t="s">
        <v>375</v>
      </c>
      <c r="AZ1" s="2" t="s">
        <v>867</v>
      </c>
      <c r="BA1" s="2" t="s">
        <v>868</v>
      </c>
      <c r="BB1" s="2" t="s">
        <v>869</v>
      </c>
      <c r="BC1" s="2" t="s">
        <v>870</v>
      </c>
      <c r="BD1" s="2" t="s">
        <v>871</v>
      </c>
      <c r="BE1" s="2" t="s">
        <v>872</v>
      </c>
      <c r="BF1" s="2" t="s">
        <v>873</v>
      </c>
      <c r="BG1" s="2" t="s">
        <v>874</v>
      </c>
      <c r="BH1" s="2" t="s">
        <v>875</v>
      </c>
      <c r="BI1" s="2" t="s">
        <v>876</v>
      </c>
      <c r="BJ1" s="2" t="s">
        <v>877</v>
      </c>
      <c r="BK1" s="2" t="s">
        <v>878</v>
      </c>
      <c r="BL1" s="2" t="s">
        <v>879</v>
      </c>
      <c r="BM1" s="2" t="s">
        <v>880</v>
      </c>
      <c r="BN1" s="2" t="s">
        <v>881</v>
      </c>
      <c r="BO1" s="2" t="s">
        <v>882</v>
      </c>
      <c r="BP1" s="2" t="s">
        <v>883</v>
      </c>
      <c r="BQ1" s="2" t="s">
        <v>884</v>
      </c>
      <c r="BR1" s="2" t="s">
        <v>885</v>
      </c>
    </row>
    <row r="2" spans="1:70">
      <c r="A2" s="4" t="s">
        <v>22</v>
      </c>
      <c r="B2" t="s">
        <v>28</v>
      </c>
      <c r="C2">
        <f>COUNTIF(D2:AL2,"oui")</f>
        <v>3</v>
      </c>
      <c r="E2" t="s">
        <v>28</v>
      </c>
      <c r="S2" t="s">
        <v>28</v>
      </c>
      <c r="U2" t="s">
        <v>28</v>
      </c>
      <c r="AQ2" t="s">
        <v>28</v>
      </c>
      <c r="AS2" t="s">
        <v>28</v>
      </c>
      <c r="BB2" t="s">
        <v>28</v>
      </c>
      <c r="BC2" t="s">
        <v>28</v>
      </c>
      <c r="BG2" t="s">
        <v>28</v>
      </c>
      <c r="BJ2" t="s">
        <v>28</v>
      </c>
      <c r="BM2" t="s">
        <v>28</v>
      </c>
      <c r="BN2" t="s">
        <v>28</v>
      </c>
      <c r="BO2" t="s">
        <v>28</v>
      </c>
    </row>
    <row r="3" spans="1:70">
      <c r="A3" s="4" t="s">
        <v>40</v>
      </c>
      <c r="B3" t="s">
        <v>28</v>
      </c>
      <c r="C3">
        <f>COUNTIF(D3:AL3,"oui")</f>
        <v>3</v>
      </c>
      <c r="S3" t="s">
        <v>28</v>
      </c>
      <c r="AA3" t="s">
        <v>28</v>
      </c>
      <c r="AF3" t="s">
        <v>28</v>
      </c>
      <c r="AS3" t="s">
        <v>28</v>
      </c>
      <c r="BI3" t="s">
        <v>28</v>
      </c>
      <c r="BR3" t="s">
        <v>28</v>
      </c>
    </row>
    <row r="4" spans="1:70">
      <c r="A4" s="4" t="s">
        <v>44</v>
      </c>
      <c r="B4" t="s">
        <v>28</v>
      </c>
      <c r="C4">
        <f>COUNTIF(D4:AL4,"oui")</f>
        <v>3</v>
      </c>
      <c r="R4" t="s">
        <v>28</v>
      </c>
      <c r="S4" t="s">
        <v>50</v>
      </c>
      <c r="AA4" t="s">
        <v>50</v>
      </c>
      <c r="AB4" t="s">
        <v>28</v>
      </c>
      <c r="AE4" t="s">
        <v>28</v>
      </c>
      <c r="AF4" t="s">
        <v>50</v>
      </c>
      <c r="AG4" t="s">
        <v>50</v>
      </c>
      <c r="AO4" t="s">
        <v>28</v>
      </c>
      <c r="AW4" t="s">
        <v>28</v>
      </c>
      <c r="BM4" t="s">
        <v>28</v>
      </c>
      <c r="BP4" t="s">
        <v>28</v>
      </c>
      <c r="BQ4" t="s">
        <v>28</v>
      </c>
    </row>
    <row r="5" spans="1:70">
      <c r="A5" s="4" t="s">
        <v>48</v>
      </c>
      <c r="B5" t="s">
        <v>28</v>
      </c>
      <c r="C5">
        <f>COUNTIF(D5:AL5,"oui")</f>
        <v>0</v>
      </c>
      <c r="AR5" t="s">
        <v>28</v>
      </c>
      <c r="AT5" t="s">
        <v>28</v>
      </c>
      <c r="AZ5" t="s">
        <v>28</v>
      </c>
      <c r="BK5" t="s">
        <v>28</v>
      </c>
      <c r="BL5" t="s">
        <v>50</v>
      </c>
      <c r="BM5" t="s">
        <v>28</v>
      </c>
      <c r="BO5" t="s">
        <v>28</v>
      </c>
      <c r="BQ5" t="s">
        <v>28</v>
      </c>
    </row>
    <row r="6" spans="1:70">
      <c r="A6" s="4" t="s">
        <v>54</v>
      </c>
      <c r="B6" t="s">
        <v>34</v>
      </c>
      <c r="C6">
        <f>COUNTIF(D6:AL6,"oui")</f>
        <v>3</v>
      </c>
      <c r="H6" t="s">
        <v>28</v>
      </c>
      <c r="X6" t="s">
        <v>28</v>
      </c>
      <c r="Y6" t="s">
        <v>28</v>
      </c>
      <c r="AT6" t="s">
        <v>28</v>
      </c>
      <c r="BM6" t="s">
        <v>28</v>
      </c>
      <c r="BO6" t="s">
        <v>28</v>
      </c>
      <c r="BQ6" t="s">
        <v>28</v>
      </c>
    </row>
    <row r="7" spans="1:70">
      <c r="A7" s="4" t="s">
        <v>59</v>
      </c>
      <c r="B7" t="s">
        <v>28</v>
      </c>
      <c r="C7">
        <f>COUNTIF(D7:AL7,"oui")</f>
        <v>3</v>
      </c>
      <c r="H7" t="s">
        <v>28</v>
      </c>
      <c r="U7" t="s">
        <v>28</v>
      </c>
      <c r="X7" t="s">
        <v>28</v>
      </c>
      <c r="AQ7" t="s">
        <v>28</v>
      </c>
      <c r="AR7" t="s">
        <v>28</v>
      </c>
      <c r="AU7" t="s">
        <v>28</v>
      </c>
      <c r="BB7" t="s">
        <v>28</v>
      </c>
      <c r="BC7" t="s">
        <v>28</v>
      </c>
      <c r="BF7" t="s">
        <v>28</v>
      </c>
      <c r="BG7" t="s">
        <v>28</v>
      </c>
      <c r="BJ7" t="s">
        <v>28</v>
      </c>
      <c r="BK7" t="s">
        <v>28</v>
      </c>
      <c r="BL7" t="s">
        <v>28</v>
      </c>
      <c r="BM7" t="s">
        <v>28</v>
      </c>
      <c r="BO7" t="s">
        <v>28</v>
      </c>
      <c r="BP7" t="s">
        <v>28</v>
      </c>
      <c r="BQ7" t="s">
        <v>28</v>
      </c>
    </row>
    <row r="8" spans="1:70">
      <c r="A8" s="4" t="s">
        <v>66</v>
      </c>
      <c r="B8" t="s">
        <v>28</v>
      </c>
      <c r="C8">
        <f>COUNTIF(D8:AL8,"oui")</f>
        <v>3</v>
      </c>
      <c r="F8" t="s">
        <v>28</v>
      </c>
      <c r="U8" t="s">
        <v>28</v>
      </c>
      <c r="Z8" t="s">
        <v>28</v>
      </c>
      <c r="AS8" t="s">
        <v>28</v>
      </c>
      <c r="AU8" t="s">
        <v>28</v>
      </c>
      <c r="AX8" t="s">
        <v>28</v>
      </c>
      <c r="AZ8" t="s">
        <v>28</v>
      </c>
      <c r="BF8" t="s">
        <v>28</v>
      </c>
      <c r="BH8" t="s">
        <v>28</v>
      </c>
      <c r="BI8" t="s">
        <v>28</v>
      </c>
      <c r="BL8" t="s">
        <v>28</v>
      </c>
      <c r="BN8" t="s">
        <v>28</v>
      </c>
      <c r="BR8" t="s">
        <v>28</v>
      </c>
    </row>
    <row r="9" spans="1:70">
      <c r="A9" s="4" t="s">
        <v>70</v>
      </c>
      <c r="B9" t="s">
        <v>28</v>
      </c>
      <c r="C9">
        <f>COUNTIF(D9:AL9,"oui")</f>
        <v>3</v>
      </c>
      <c r="F9" t="s">
        <v>28</v>
      </c>
      <c r="S9" t="s">
        <v>28</v>
      </c>
      <c r="T9" t="s">
        <v>28</v>
      </c>
      <c r="X9" t="s">
        <v>50</v>
      </c>
      <c r="AN9" t="s">
        <v>28</v>
      </c>
      <c r="AO9" t="s">
        <v>28</v>
      </c>
      <c r="AP9" t="s">
        <v>28</v>
      </c>
      <c r="AR9" t="s">
        <v>28</v>
      </c>
      <c r="AW9" t="s">
        <v>28</v>
      </c>
      <c r="BI9" t="s">
        <v>28</v>
      </c>
      <c r="BM9" t="s">
        <v>28</v>
      </c>
      <c r="BP9" t="s">
        <v>28</v>
      </c>
    </row>
    <row r="10" spans="1:70">
      <c r="A10" s="4" t="s">
        <v>78</v>
      </c>
      <c r="B10" t="s">
        <v>28</v>
      </c>
      <c r="C10">
        <f>COUNTIF(D10:AL10,"oui")</f>
        <v>3</v>
      </c>
      <c r="F10" t="s">
        <v>28</v>
      </c>
      <c r="S10" t="s">
        <v>28</v>
      </c>
      <c r="T10" t="s">
        <v>28</v>
      </c>
      <c r="AN10" t="s">
        <v>28</v>
      </c>
      <c r="AO10" t="s">
        <v>28</v>
      </c>
      <c r="AP10" t="s">
        <v>28</v>
      </c>
      <c r="AR10" t="s">
        <v>28</v>
      </c>
      <c r="AW10" t="s">
        <v>28</v>
      </c>
      <c r="BI10" t="s">
        <v>28</v>
      </c>
      <c r="BM10" t="s">
        <v>28</v>
      </c>
      <c r="BP10" t="s">
        <v>28</v>
      </c>
    </row>
    <row r="11" spans="1:70">
      <c r="A11" s="4" t="s">
        <v>80</v>
      </c>
      <c r="B11" t="s">
        <v>34</v>
      </c>
      <c r="C11">
        <f>COUNTIF(D11:AL11,"oui")</f>
        <v>3</v>
      </c>
      <c r="F11" t="s">
        <v>28</v>
      </c>
      <c r="S11" t="s">
        <v>28</v>
      </c>
      <c r="T11" t="s">
        <v>28</v>
      </c>
      <c r="AN11" t="s">
        <v>28</v>
      </c>
      <c r="AO11" t="s">
        <v>28</v>
      </c>
      <c r="AP11" t="s">
        <v>28</v>
      </c>
      <c r="AR11" t="s">
        <v>28</v>
      </c>
      <c r="AW11" t="s">
        <v>28</v>
      </c>
      <c r="BI11" t="s">
        <v>28</v>
      </c>
      <c r="BM11" t="s">
        <v>28</v>
      </c>
      <c r="BP11" t="s">
        <v>28</v>
      </c>
    </row>
    <row r="12" spans="1:70">
      <c r="A12" s="4" t="s">
        <v>82</v>
      </c>
      <c r="B12" t="s">
        <v>28</v>
      </c>
      <c r="C12">
        <f>COUNTIF(D12:AL12,"oui")</f>
        <v>3</v>
      </c>
      <c r="F12" t="s">
        <v>28</v>
      </c>
      <c r="H12" t="s">
        <v>28</v>
      </c>
      <c r="W12" t="s">
        <v>28</v>
      </c>
      <c r="AQ12" t="s">
        <v>28</v>
      </c>
      <c r="AU12" t="s">
        <v>28</v>
      </c>
      <c r="BC12" t="s">
        <v>28</v>
      </c>
      <c r="BF12" t="s">
        <v>28</v>
      </c>
      <c r="BG12" t="s">
        <v>28</v>
      </c>
      <c r="BH12" t="s">
        <v>28</v>
      </c>
      <c r="BJ12" t="s">
        <v>28</v>
      </c>
      <c r="BL12" t="s">
        <v>28</v>
      </c>
      <c r="BN12" t="s">
        <v>28</v>
      </c>
      <c r="BO12" t="s">
        <v>28</v>
      </c>
      <c r="BQ12" t="s">
        <v>28</v>
      </c>
    </row>
    <row r="13" spans="1:70">
      <c r="A13" s="4" t="s">
        <v>86</v>
      </c>
      <c r="B13" t="s">
        <v>28</v>
      </c>
      <c r="C13">
        <f>COUNTIF(D13:AL13,"oui")</f>
        <v>3</v>
      </c>
      <c r="H13" t="s">
        <v>28</v>
      </c>
      <c r="U13" t="s">
        <v>28</v>
      </c>
      <c r="AA13" t="s">
        <v>28</v>
      </c>
      <c r="AQ13" t="s">
        <v>28</v>
      </c>
      <c r="AR13" t="s">
        <v>28</v>
      </c>
      <c r="AS13" t="s">
        <v>28</v>
      </c>
      <c r="BB13" t="s">
        <v>28</v>
      </c>
      <c r="BC13" t="s">
        <v>28</v>
      </c>
      <c r="BG13" t="s">
        <v>28</v>
      </c>
      <c r="BJ13" t="s">
        <v>28</v>
      </c>
      <c r="BK13" t="s">
        <v>28</v>
      </c>
      <c r="BL13" t="s">
        <v>28</v>
      </c>
      <c r="BM13" t="s">
        <v>28</v>
      </c>
      <c r="BO13" t="s">
        <v>28</v>
      </c>
      <c r="BP13" t="s">
        <v>28</v>
      </c>
    </row>
    <row r="14" spans="1:70">
      <c r="A14" s="4" t="s">
        <v>89</v>
      </c>
      <c r="B14" t="s">
        <v>28</v>
      </c>
      <c r="C14">
        <f>COUNTIF(D14:AL14,"oui")</f>
        <v>3</v>
      </c>
      <c r="F14" t="s">
        <v>28</v>
      </c>
      <c r="G14" t="s">
        <v>28</v>
      </c>
      <c r="Y14" t="s">
        <v>28</v>
      </c>
      <c r="AT14" t="s">
        <v>28</v>
      </c>
      <c r="AW14" t="s">
        <v>28</v>
      </c>
      <c r="AZ14" t="s">
        <v>28</v>
      </c>
      <c r="BA14" t="s">
        <v>28</v>
      </c>
      <c r="BJ14" t="s">
        <v>28</v>
      </c>
      <c r="BN14" t="s">
        <v>28</v>
      </c>
      <c r="BO14" t="s">
        <v>28</v>
      </c>
      <c r="BQ14" t="s">
        <v>28</v>
      </c>
      <c r="BR14" t="s">
        <v>28</v>
      </c>
    </row>
    <row r="15" spans="1:70">
      <c r="A15" s="4" t="s">
        <v>98</v>
      </c>
      <c r="B15" t="s">
        <v>28</v>
      </c>
      <c r="C15">
        <f>COUNTIF(D15:AL15,"oui")</f>
        <v>3</v>
      </c>
      <c r="J15" t="s">
        <v>28</v>
      </c>
      <c r="X15" t="s">
        <v>28</v>
      </c>
      <c r="Y15" t="s">
        <v>28</v>
      </c>
      <c r="AR15" t="s">
        <v>28</v>
      </c>
      <c r="AS15" t="s">
        <v>28</v>
      </c>
      <c r="AW15" t="s">
        <v>28</v>
      </c>
      <c r="AZ15" t="s">
        <v>28</v>
      </c>
      <c r="BA15" t="s">
        <v>28</v>
      </c>
      <c r="BO15" t="s">
        <v>28</v>
      </c>
      <c r="BQ15" t="s">
        <v>28</v>
      </c>
    </row>
    <row r="16" spans="1:70">
      <c r="A16" s="4" t="s">
        <v>101</v>
      </c>
      <c r="B16" t="s">
        <v>28</v>
      </c>
      <c r="C16">
        <f>COUNTIF(D16:AL16,"oui")</f>
        <v>3</v>
      </c>
      <c r="E16" t="s">
        <v>28</v>
      </c>
      <c r="T16" t="s">
        <v>28</v>
      </c>
      <c r="Y16" t="s">
        <v>28</v>
      </c>
      <c r="AP16" t="s">
        <v>28</v>
      </c>
      <c r="AR16" t="s">
        <v>28</v>
      </c>
      <c r="AW16" t="s">
        <v>28</v>
      </c>
      <c r="AZ16" t="s">
        <v>28</v>
      </c>
      <c r="BA16" t="s">
        <v>28</v>
      </c>
      <c r="BN16" t="s">
        <v>28</v>
      </c>
      <c r="BO16" t="s">
        <v>28</v>
      </c>
      <c r="BP16" t="s">
        <v>28</v>
      </c>
      <c r="BQ16" t="s">
        <v>28</v>
      </c>
    </row>
    <row r="17" spans="1:70">
      <c r="A17" s="4" t="s">
        <v>103</v>
      </c>
      <c r="B17" t="s">
        <v>28</v>
      </c>
      <c r="C17">
        <f>COUNTIF(D17:AL17,"oui")</f>
        <v>3</v>
      </c>
      <c r="D17" t="s">
        <v>28</v>
      </c>
      <c r="O17" t="s">
        <v>28</v>
      </c>
      <c r="T17" t="s">
        <v>50</v>
      </c>
      <c r="W17" t="s">
        <v>28</v>
      </c>
      <c r="AS17" t="s">
        <v>28</v>
      </c>
      <c r="AV17" t="s">
        <v>28</v>
      </c>
      <c r="AZ17" t="s">
        <v>28</v>
      </c>
      <c r="BA17" t="s">
        <v>28</v>
      </c>
      <c r="BJ17" t="s">
        <v>28</v>
      </c>
      <c r="BN17" t="s">
        <v>28</v>
      </c>
      <c r="BO17" t="s">
        <v>28</v>
      </c>
      <c r="BP17" t="s">
        <v>28</v>
      </c>
      <c r="BQ17" t="s">
        <v>28</v>
      </c>
      <c r="BR17" t="s">
        <v>28</v>
      </c>
    </row>
    <row r="18" spans="1:70">
      <c r="A18" s="4" t="s">
        <v>105</v>
      </c>
      <c r="B18" t="s">
        <v>28</v>
      </c>
      <c r="C18">
        <f>COUNTIF(D18:AL18,"oui")</f>
        <v>3</v>
      </c>
      <c r="F18" t="s">
        <v>50</v>
      </c>
      <c r="H18" t="s">
        <v>28</v>
      </c>
      <c r="X18" t="s">
        <v>28</v>
      </c>
      <c r="Y18" t="s">
        <v>28</v>
      </c>
      <c r="AT18" t="s">
        <v>28</v>
      </c>
      <c r="AZ18" t="s">
        <v>28</v>
      </c>
      <c r="BA18" t="s">
        <v>28</v>
      </c>
      <c r="BN18" t="s">
        <v>28</v>
      </c>
      <c r="BO18" t="s">
        <v>28</v>
      </c>
      <c r="BQ18" t="s">
        <v>28</v>
      </c>
    </row>
    <row r="19" spans="1:70">
      <c r="A19" s="4" t="s">
        <v>108</v>
      </c>
      <c r="B19" t="s">
        <v>28</v>
      </c>
      <c r="C19">
        <f>COUNTIF(D19:AL19,"oui")</f>
        <v>3</v>
      </c>
      <c r="F19" t="s">
        <v>28</v>
      </c>
      <c r="W19" t="s">
        <v>28</v>
      </c>
      <c r="X19" t="s">
        <v>28</v>
      </c>
      <c r="AN19" t="s">
        <v>28</v>
      </c>
      <c r="AO19" t="s">
        <v>28</v>
      </c>
      <c r="AZ19" t="s">
        <v>28</v>
      </c>
      <c r="BP19" t="s">
        <v>28</v>
      </c>
    </row>
    <row r="20" spans="1:70">
      <c r="A20" s="4" t="s">
        <v>113</v>
      </c>
      <c r="B20" t="s">
        <v>28</v>
      </c>
      <c r="C20">
        <f>COUNTIF(D20:AL20,"oui")</f>
        <v>3</v>
      </c>
      <c r="W20" t="s">
        <v>28</v>
      </c>
      <c r="Z20" t="s">
        <v>28</v>
      </c>
      <c r="AA20" t="s">
        <v>28</v>
      </c>
      <c r="AS20" t="s">
        <v>28</v>
      </c>
      <c r="BD20" t="s">
        <v>28</v>
      </c>
      <c r="BE20" t="s">
        <v>28</v>
      </c>
      <c r="BK20" t="s">
        <v>28</v>
      </c>
      <c r="BL20" t="s">
        <v>28</v>
      </c>
    </row>
    <row r="21" spans="1:70">
      <c r="A21" s="4" t="s">
        <v>116</v>
      </c>
      <c r="B21" t="s">
        <v>28</v>
      </c>
      <c r="C21">
        <f>COUNTIF(D21:AL21,"oui")</f>
        <v>3</v>
      </c>
      <c r="H21" t="s">
        <v>28</v>
      </c>
      <c r="U21" t="s">
        <v>28</v>
      </c>
      <c r="Z21" t="s">
        <v>28</v>
      </c>
      <c r="AQ21" t="s">
        <v>28</v>
      </c>
      <c r="AR21" t="s">
        <v>28</v>
      </c>
      <c r="AU21" t="s">
        <v>28</v>
      </c>
      <c r="BB21" t="s">
        <v>28</v>
      </c>
      <c r="BC21" t="s">
        <v>28</v>
      </c>
      <c r="BF21" t="s">
        <v>28</v>
      </c>
      <c r="BG21" t="s">
        <v>28</v>
      </c>
      <c r="BH21" t="s">
        <v>28</v>
      </c>
      <c r="BJ21" t="s">
        <v>28</v>
      </c>
      <c r="BK21" t="s">
        <v>28</v>
      </c>
      <c r="BL21" t="s">
        <v>28</v>
      </c>
      <c r="BM21" t="s">
        <v>28</v>
      </c>
      <c r="BN21" t="s">
        <v>28</v>
      </c>
      <c r="BO21" t="s">
        <v>28</v>
      </c>
      <c r="BP21" t="s">
        <v>28</v>
      </c>
      <c r="BQ21" t="s">
        <v>28</v>
      </c>
    </row>
    <row r="22" spans="1:70">
      <c r="A22" s="4" t="s">
        <v>122</v>
      </c>
      <c r="B22" t="s">
        <v>28</v>
      </c>
      <c r="C22">
        <f>COUNTIF(D22:AL22,"oui")</f>
        <v>3</v>
      </c>
      <c r="T22" t="s">
        <v>28</v>
      </c>
      <c r="U22" t="s">
        <v>28</v>
      </c>
      <c r="X22" t="s">
        <v>28</v>
      </c>
      <c r="AZ22" t="s">
        <v>28</v>
      </c>
      <c r="BE22" t="s">
        <v>28</v>
      </c>
      <c r="BH22" t="s">
        <v>28</v>
      </c>
      <c r="BI22" t="s">
        <v>28</v>
      </c>
      <c r="BL22" t="s">
        <v>28</v>
      </c>
      <c r="BO22" t="s">
        <v>28</v>
      </c>
      <c r="BR22" t="s">
        <v>28</v>
      </c>
    </row>
    <row r="23" spans="1:70">
      <c r="A23" s="4" t="s">
        <v>126</v>
      </c>
      <c r="B23" t="s">
        <v>28</v>
      </c>
      <c r="C23">
        <f>COUNTIF(D23:AL23,"oui")</f>
        <v>3</v>
      </c>
      <c r="E23" t="s">
        <v>28</v>
      </c>
      <c r="U23" t="s">
        <v>28</v>
      </c>
      <c r="Y23" t="s">
        <v>28</v>
      </c>
      <c r="AN23" t="s">
        <v>28</v>
      </c>
      <c r="AO23" t="s">
        <v>28</v>
      </c>
      <c r="AT23" t="s">
        <v>28</v>
      </c>
      <c r="BB23" t="s">
        <v>28</v>
      </c>
      <c r="BD23" t="s">
        <v>28</v>
      </c>
      <c r="BG23" t="s">
        <v>28</v>
      </c>
      <c r="BK23" t="s">
        <v>28</v>
      </c>
      <c r="BM23" t="s">
        <v>28</v>
      </c>
      <c r="BN23" t="s">
        <v>28</v>
      </c>
      <c r="BQ23" t="s">
        <v>28</v>
      </c>
    </row>
    <row r="24" spans="1:70">
      <c r="A24" s="4" t="s">
        <v>131</v>
      </c>
      <c r="B24" t="s">
        <v>28</v>
      </c>
      <c r="C24">
        <f>COUNTIF(D24:AL24,"oui")</f>
        <v>3</v>
      </c>
      <c r="O24" t="s">
        <v>28</v>
      </c>
      <c r="V24" t="s">
        <v>28</v>
      </c>
      <c r="Z24" t="s">
        <v>28</v>
      </c>
      <c r="AQ24" t="s">
        <v>28</v>
      </c>
      <c r="BB24" t="s">
        <v>28</v>
      </c>
      <c r="BC24" t="s">
        <v>28</v>
      </c>
      <c r="BG24" t="s">
        <v>28</v>
      </c>
      <c r="BH24" t="s">
        <v>28</v>
      </c>
      <c r="BJ24" t="s">
        <v>28</v>
      </c>
      <c r="BL24" t="s">
        <v>28</v>
      </c>
      <c r="BN24" t="s">
        <v>28</v>
      </c>
      <c r="BO24" t="s">
        <v>28</v>
      </c>
      <c r="BQ24" t="s">
        <v>28</v>
      </c>
      <c r="BR24" t="s">
        <v>28</v>
      </c>
    </row>
    <row r="25" spans="1:70">
      <c r="A25" s="4" t="s">
        <v>133</v>
      </c>
      <c r="B25" t="s">
        <v>28</v>
      </c>
      <c r="C25">
        <f>COUNTIF(D25:AL25,"oui")</f>
        <v>3</v>
      </c>
      <c r="U25" t="s">
        <v>28</v>
      </c>
      <c r="W25" t="s">
        <v>28</v>
      </c>
      <c r="Z25" t="s">
        <v>28</v>
      </c>
      <c r="AQ25" t="s">
        <v>28</v>
      </c>
      <c r="AR25" t="s">
        <v>50</v>
      </c>
      <c r="AT25" t="s">
        <v>50</v>
      </c>
      <c r="AU25" t="s">
        <v>28</v>
      </c>
      <c r="BB25" t="s">
        <v>28</v>
      </c>
      <c r="BC25" t="s">
        <v>28</v>
      </c>
      <c r="BF25" t="s">
        <v>28</v>
      </c>
      <c r="BG25" t="s">
        <v>28</v>
      </c>
      <c r="BH25" t="s">
        <v>28</v>
      </c>
      <c r="BL25" t="s">
        <v>28</v>
      </c>
      <c r="BM25" t="s">
        <v>28</v>
      </c>
      <c r="BQ25" t="s">
        <v>28</v>
      </c>
      <c r="BR25" t="s">
        <v>28</v>
      </c>
    </row>
    <row r="26" spans="1:70">
      <c r="A26" s="4" t="s">
        <v>135</v>
      </c>
      <c r="B26" t="s">
        <v>28</v>
      </c>
      <c r="C26">
        <f>COUNTIF(D26:AL26,"oui")</f>
        <v>3</v>
      </c>
      <c r="E26" t="s">
        <v>28</v>
      </c>
      <c r="N26" t="s">
        <v>50</v>
      </c>
      <c r="O26" t="s">
        <v>28</v>
      </c>
      <c r="W26" t="s">
        <v>28</v>
      </c>
      <c r="AQ26" t="s">
        <v>28</v>
      </c>
      <c r="AT26" t="s">
        <v>28</v>
      </c>
      <c r="AZ26" t="s">
        <v>28</v>
      </c>
      <c r="BG26" t="s">
        <v>28</v>
      </c>
      <c r="BH26" t="s">
        <v>28</v>
      </c>
      <c r="BI26" t="s">
        <v>28</v>
      </c>
      <c r="BJ26" t="s">
        <v>28</v>
      </c>
      <c r="BL26" t="s">
        <v>28</v>
      </c>
    </row>
    <row r="27" spans="1:70">
      <c r="A27" s="4" t="s">
        <v>142</v>
      </c>
      <c r="B27" t="s">
        <v>28</v>
      </c>
      <c r="C27">
        <f t="shared" ref="C27:C28" si="0">COUNTIF(D27:AL27,"oui")</f>
        <v>3</v>
      </c>
      <c r="E27" t="s">
        <v>28</v>
      </c>
      <c r="F27" t="s">
        <v>28</v>
      </c>
      <c r="W27" t="s">
        <v>28</v>
      </c>
      <c r="AO27" t="s">
        <v>28</v>
      </c>
      <c r="AR27" t="s">
        <v>28</v>
      </c>
      <c r="AV27" t="s">
        <v>28</v>
      </c>
      <c r="AZ27" t="s">
        <v>28</v>
      </c>
      <c r="BF27" t="s">
        <v>28</v>
      </c>
      <c r="BG27" t="s">
        <v>28</v>
      </c>
      <c r="BN27" t="s">
        <v>28</v>
      </c>
    </row>
    <row r="28" spans="1:70">
      <c r="A28" s="4" t="s">
        <v>144</v>
      </c>
      <c r="B28" t="s">
        <v>28</v>
      </c>
      <c r="C28">
        <f t="shared" si="0"/>
        <v>3</v>
      </c>
      <c r="E28" t="s">
        <v>28</v>
      </c>
      <c r="O28" t="s">
        <v>28</v>
      </c>
      <c r="W28" t="s">
        <v>28</v>
      </c>
      <c r="AN28" t="s">
        <v>28</v>
      </c>
      <c r="AU28" t="s">
        <v>28</v>
      </c>
      <c r="AZ28" t="s">
        <v>28</v>
      </c>
      <c r="BD28" t="s">
        <v>28</v>
      </c>
      <c r="BE28" t="s">
        <v>28</v>
      </c>
      <c r="BJ28" t="s">
        <v>28</v>
      </c>
      <c r="BK28" t="s">
        <v>28</v>
      </c>
      <c r="BO28" t="s">
        <v>28</v>
      </c>
      <c r="BP28" t="s">
        <v>28</v>
      </c>
    </row>
    <row r="29" spans="1:70">
      <c r="A29" s="4" t="s">
        <v>151</v>
      </c>
      <c r="B29" t="s">
        <v>28</v>
      </c>
      <c r="C29">
        <f>COUNTIF(D29:AL29,"oui")</f>
        <v>3</v>
      </c>
      <c r="S29" t="s">
        <v>28</v>
      </c>
      <c r="V29" t="s">
        <v>28</v>
      </c>
      <c r="Z29" t="s">
        <v>28</v>
      </c>
      <c r="AQ29" t="s">
        <v>28</v>
      </c>
      <c r="AV29" t="s">
        <v>28</v>
      </c>
      <c r="AZ29" t="s">
        <v>28</v>
      </c>
      <c r="BC29" t="s">
        <v>28</v>
      </c>
      <c r="BJ29" t="s">
        <v>28</v>
      </c>
      <c r="BM29" t="s">
        <v>28</v>
      </c>
      <c r="BN29" t="s">
        <v>28</v>
      </c>
      <c r="BO29" t="s">
        <v>28</v>
      </c>
      <c r="BQ29" t="s">
        <v>28</v>
      </c>
      <c r="BR29" t="s">
        <v>28</v>
      </c>
    </row>
    <row r="30" spans="1:70">
      <c r="A30" s="4" t="s">
        <v>154</v>
      </c>
      <c r="B30" t="s">
        <v>28</v>
      </c>
      <c r="C30">
        <f>COUNTIF(D30:AL30,"oui")</f>
        <v>3</v>
      </c>
      <c r="U30" t="s">
        <v>28</v>
      </c>
      <c r="V30" t="s">
        <v>28</v>
      </c>
      <c r="X30" t="s">
        <v>28</v>
      </c>
      <c r="AP30" t="s">
        <v>28</v>
      </c>
      <c r="AR30" t="s">
        <v>28</v>
      </c>
      <c r="AU30" t="s">
        <v>28</v>
      </c>
      <c r="BB30" t="s">
        <v>28</v>
      </c>
      <c r="BF30" t="s">
        <v>28</v>
      </c>
      <c r="BL30" t="s">
        <v>28</v>
      </c>
      <c r="BM30" t="s">
        <v>28</v>
      </c>
      <c r="BP30" t="s">
        <v>28</v>
      </c>
      <c r="BR30" t="s">
        <v>28</v>
      </c>
    </row>
    <row r="31" spans="1:70">
      <c r="A31" s="4" t="s">
        <v>707</v>
      </c>
      <c r="B31" t="s">
        <v>28</v>
      </c>
      <c r="C31">
        <f>COUNTIF(D31:AL31,"oui")</f>
        <v>3</v>
      </c>
      <c r="O31" t="s">
        <v>28</v>
      </c>
      <c r="W31" t="s">
        <v>28</v>
      </c>
      <c r="Z31" t="s">
        <v>28</v>
      </c>
      <c r="AQ31" t="s">
        <v>28</v>
      </c>
      <c r="BB31" t="s">
        <v>28</v>
      </c>
      <c r="BC31" t="s">
        <v>28</v>
      </c>
      <c r="BJ31" t="s">
        <v>28</v>
      </c>
      <c r="BL31" t="s">
        <v>28</v>
      </c>
      <c r="BQ31" t="s">
        <v>28</v>
      </c>
      <c r="BR31" t="s">
        <v>28</v>
      </c>
    </row>
    <row r="32" spans="1:70">
      <c r="A32" s="4" t="s">
        <v>714</v>
      </c>
      <c r="B32" t="s">
        <v>28</v>
      </c>
      <c r="C32">
        <f>COUNTIF(D32:AL32,"oui")</f>
        <v>3</v>
      </c>
      <c r="H32" t="s">
        <v>28</v>
      </c>
      <c r="V32" t="s">
        <v>28</v>
      </c>
      <c r="AA32" t="s">
        <v>28</v>
      </c>
      <c r="AS32" t="s">
        <v>28</v>
      </c>
      <c r="BE32" t="s">
        <v>28</v>
      </c>
      <c r="BF32" t="s">
        <v>28</v>
      </c>
      <c r="BH32" t="s">
        <v>28</v>
      </c>
      <c r="BK32" t="s">
        <v>28</v>
      </c>
      <c r="BM32" t="s">
        <v>28</v>
      </c>
      <c r="BR32" t="s">
        <v>28</v>
      </c>
    </row>
    <row r="33" spans="1:70">
      <c r="A33" s="4" t="s">
        <v>748</v>
      </c>
      <c r="B33" t="s">
        <v>28</v>
      </c>
      <c r="C33">
        <f>COUNTIF(D33:AL33,"oui")</f>
        <v>3</v>
      </c>
      <c r="H33" t="s">
        <v>28</v>
      </c>
      <c r="W33" t="s">
        <v>28</v>
      </c>
      <c r="AA33" t="s">
        <v>28</v>
      </c>
      <c r="AC33" t="s">
        <v>50</v>
      </c>
      <c r="AS33" t="s">
        <v>28</v>
      </c>
      <c r="AW33" t="s">
        <v>28</v>
      </c>
      <c r="BE33" t="s">
        <v>28</v>
      </c>
      <c r="BF33" t="s">
        <v>28</v>
      </c>
      <c r="BH33" t="s">
        <v>28</v>
      </c>
      <c r="BK33" t="s">
        <v>28</v>
      </c>
      <c r="BM33" t="s">
        <v>28</v>
      </c>
      <c r="BR33" t="s">
        <v>28</v>
      </c>
    </row>
    <row r="34" spans="1:70">
      <c r="A34" s="4" t="s">
        <v>206</v>
      </c>
      <c r="B34" s="15" t="s">
        <v>28</v>
      </c>
      <c r="C34">
        <f t="shared" ref="C34:C40" si="1">COUNTIF(D34:AL34,"oui")</f>
        <v>3</v>
      </c>
      <c r="H34" t="s">
        <v>28</v>
      </c>
      <c r="U34" t="s">
        <v>28</v>
      </c>
      <c r="W34" t="s">
        <v>28</v>
      </c>
      <c r="AN34" t="s">
        <v>28</v>
      </c>
      <c r="AP34" t="s">
        <v>28</v>
      </c>
      <c r="AR34" t="s">
        <v>28</v>
      </c>
      <c r="AZ34" t="s">
        <v>28</v>
      </c>
      <c r="BF34" t="s">
        <v>28</v>
      </c>
      <c r="BI34" t="s">
        <v>50</v>
      </c>
      <c r="BM34" t="s">
        <v>28</v>
      </c>
      <c r="BP34" t="s">
        <v>28</v>
      </c>
    </row>
    <row r="35" spans="1:70">
      <c r="A35" s="4" t="s">
        <v>210</v>
      </c>
      <c r="B35" s="15" t="s">
        <v>28</v>
      </c>
      <c r="C35">
        <f t="shared" si="1"/>
        <v>3</v>
      </c>
      <c r="D35" t="s">
        <v>28</v>
      </c>
      <c r="H35" t="s">
        <v>28</v>
      </c>
      <c r="R35" t="s">
        <v>28</v>
      </c>
      <c r="AN35" t="s">
        <v>28</v>
      </c>
      <c r="BF35" t="s">
        <v>28</v>
      </c>
      <c r="BI35" t="s">
        <v>28</v>
      </c>
      <c r="BM35" t="s">
        <v>28</v>
      </c>
      <c r="BO35" t="s">
        <v>28</v>
      </c>
      <c r="BP35" t="s">
        <v>28</v>
      </c>
    </row>
    <row r="36" spans="1:70">
      <c r="A36" s="4" t="s">
        <v>214</v>
      </c>
      <c r="B36" s="15" t="s">
        <v>28</v>
      </c>
      <c r="C36">
        <f t="shared" si="1"/>
        <v>3</v>
      </c>
      <c r="D36" t="s">
        <v>28</v>
      </c>
      <c r="H36" t="s">
        <v>28</v>
      </c>
      <c r="R36" t="s">
        <v>28</v>
      </c>
      <c r="AN36" t="s">
        <v>28</v>
      </c>
      <c r="BF36" t="s">
        <v>28</v>
      </c>
      <c r="BI36" t="s">
        <v>28</v>
      </c>
      <c r="BM36" t="s">
        <v>28</v>
      </c>
      <c r="BO36" t="s">
        <v>28</v>
      </c>
      <c r="BP36" t="s">
        <v>28</v>
      </c>
    </row>
    <row r="37" spans="1:70">
      <c r="A37" s="4" t="s">
        <v>298</v>
      </c>
      <c r="B37" s="15" t="s">
        <v>28</v>
      </c>
      <c r="C37">
        <f t="shared" si="1"/>
        <v>3</v>
      </c>
      <c r="M37" t="s">
        <v>28</v>
      </c>
      <c r="P37" t="s">
        <v>28</v>
      </c>
      <c r="X37" t="s">
        <v>28</v>
      </c>
      <c r="AO37" t="s">
        <v>28</v>
      </c>
      <c r="AQ37" t="s">
        <v>28</v>
      </c>
      <c r="AT37" t="s">
        <v>28</v>
      </c>
      <c r="AU37" t="s">
        <v>28</v>
      </c>
      <c r="BB37" t="s">
        <v>28</v>
      </c>
      <c r="BD37" t="s">
        <v>28</v>
      </c>
      <c r="BG37" t="s">
        <v>28</v>
      </c>
      <c r="BK37" t="s">
        <v>28</v>
      </c>
      <c r="BL37" t="s">
        <v>28</v>
      </c>
      <c r="BM37" t="s">
        <v>28</v>
      </c>
      <c r="BN37" t="s">
        <v>28</v>
      </c>
      <c r="BR37" t="s">
        <v>28</v>
      </c>
    </row>
    <row r="38" spans="1:70">
      <c r="A38" s="4" t="s">
        <v>374</v>
      </c>
      <c r="B38" s="15" t="s">
        <v>28</v>
      </c>
      <c r="C38">
        <f t="shared" si="1"/>
        <v>3</v>
      </c>
      <c r="D38" t="s">
        <v>50</v>
      </c>
      <c r="F38" t="s">
        <v>28</v>
      </c>
      <c r="H38" t="s">
        <v>50</v>
      </c>
      <c r="T38" t="s">
        <v>28</v>
      </c>
      <c r="AG38" t="s">
        <v>28</v>
      </c>
      <c r="AR38" t="s">
        <v>28</v>
      </c>
      <c r="AV38" t="s">
        <v>28</v>
      </c>
      <c r="AY38" t="s">
        <v>28</v>
      </c>
      <c r="BJ38" t="s">
        <v>28</v>
      </c>
      <c r="BM38" t="s">
        <v>28</v>
      </c>
      <c r="BO38" t="s">
        <v>28</v>
      </c>
    </row>
    <row r="39" spans="1:70">
      <c r="A39" s="4" t="s">
        <v>253</v>
      </c>
      <c r="B39" s="15" t="s">
        <v>28</v>
      </c>
      <c r="C39">
        <f t="shared" si="1"/>
        <v>3</v>
      </c>
      <c r="F39" t="s">
        <v>28</v>
      </c>
      <c r="H39" t="s">
        <v>28</v>
      </c>
      <c r="W39" t="s">
        <v>28</v>
      </c>
      <c r="BH39" t="s">
        <v>28</v>
      </c>
      <c r="BJ39" t="s">
        <v>28</v>
      </c>
      <c r="BL39" t="s">
        <v>28</v>
      </c>
      <c r="BO39" t="s">
        <v>28</v>
      </c>
    </row>
    <row r="40" spans="1:70">
      <c r="A40" s="4" t="s">
        <v>285</v>
      </c>
      <c r="B40" s="15" t="s">
        <v>28</v>
      </c>
      <c r="C40">
        <f t="shared" si="1"/>
        <v>4</v>
      </c>
      <c r="J40" t="s">
        <v>28</v>
      </c>
      <c r="R40" t="s">
        <v>50</v>
      </c>
      <c r="S40" t="s">
        <v>28</v>
      </c>
      <c r="AA40" t="s">
        <v>50</v>
      </c>
      <c r="AF40" t="s">
        <v>28</v>
      </c>
      <c r="AG40" t="s">
        <v>28</v>
      </c>
      <c r="BM40" t="s">
        <v>28</v>
      </c>
      <c r="BO40" t="s">
        <v>28</v>
      </c>
      <c r="BP40" t="s">
        <v>28</v>
      </c>
    </row>
    <row r="41" spans="1:70">
      <c r="A41" t="s">
        <v>886</v>
      </c>
      <c r="D41">
        <f>COUNTIF(D2:D40,"oui")</f>
        <v>3</v>
      </c>
      <c r="E41">
        <f>COUNTIF(E2:E40,"oui")</f>
        <v>6</v>
      </c>
      <c r="F41">
        <f>COUNTIF(F2:F40,"oui")</f>
        <v>10</v>
      </c>
      <c r="G41">
        <f>COUNTIF(G2:G40,"oui")</f>
        <v>1</v>
      </c>
      <c r="H41">
        <f>COUNTIF(H2:H40,"oui")</f>
        <v>12</v>
      </c>
      <c r="I41">
        <f>COUNTIF(I2:I40,"oui")</f>
        <v>0</v>
      </c>
      <c r="J41">
        <f>COUNTIF(J2:J40,"oui")</f>
        <v>2</v>
      </c>
      <c r="K41">
        <f>COUNTIF(K2:K40,"oui")</f>
        <v>0</v>
      </c>
      <c r="L41">
        <f>COUNTIF(L2:L40,"oui")</f>
        <v>0</v>
      </c>
      <c r="M41">
        <f>COUNTIF(M2:M40,"oui")</f>
        <v>1</v>
      </c>
      <c r="N41">
        <f>COUNTIF(N2:N40,"oui")</f>
        <v>0</v>
      </c>
      <c r="O41">
        <f>COUNTIF(O2:O40,"oui")</f>
        <v>5</v>
      </c>
      <c r="P41">
        <f>COUNTIF(P2:P40,"oui")</f>
        <v>1</v>
      </c>
      <c r="Q41">
        <f>COUNTIF(Q2:Q40,"oui")</f>
        <v>0</v>
      </c>
      <c r="R41">
        <f>COUNTIF(R2:R40,"oui")</f>
        <v>3</v>
      </c>
      <c r="S41">
        <f>COUNTIF(S2:S40,"oui")</f>
        <v>7</v>
      </c>
      <c r="T41">
        <f>COUNTIF(T2:T40,"oui")</f>
        <v>6</v>
      </c>
      <c r="U41">
        <f>COUNTIF(U2:U40,"oui")</f>
        <v>10</v>
      </c>
      <c r="V41">
        <f>COUNTIF(V2:V40,"oui")</f>
        <v>4</v>
      </c>
      <c r="W41">
        <f>COUNTIF(W2:W40,"oui")</f>
        <v>12</v>
      </c>
      <c r="X41">
        <f>COUNTIF(X2:X40,"oui")</f>
        <v>8</v>
      </c>
      <c r="Y41">
        <f>COUNTIF(Y2:Y40,"oui")</f>
        <v>6</v>
      </c>
      <c r="Z41">
        <f>COUNTIF(Z2:Z40,"oui")</f>
        <v>7</v>
      </c>
      <c r="AA41">
        <f>COUNTIF(AA2:AA40,"oui")</f>
        <v>5</v>
      </c>
      <c r="AB41">
        <f>COUNTIF(AB2:AB40,"oui")</f>
        <v>1</v>
      </c>
      <c r="AC41">
        <f>COUNTIF(AC2:AC40,"oui")</f>
        <v>0</v>
      </c>
      <c r="AD41">
        <f>COUNTIF(AD2:AD40,"oui")</f>
        <v>0</v>
      </c>
      <c r="AE41">
        <f>COUNTIF(AE2:AE40,"oui")</f>
        <v>1</v>
      </c>
      <c r="AF41">
        <f>COUNTIF(AF2:AF40,"oui")</f>
        <v>2</v>
      </c>
      <c r="AG41">
        <f>COUNTIF(AG2:AG40,"oui")</f>
        <v>2</v>
      </c>
      <c r="AH41">
        <f>COUNTIF(AH2:AH40,"oui")</f>
        <v>0</v>
      </c>
      <c r="AI41">
        <f>COUNTIF(AI2:AI40,"oui")</f>
        <v>0</v>
      </c>
      <c r="AJ41">
        <f>COUNTIF(AJ2:AJ40,"oui")</f>
        <v>0</v>
      </c>
      <c r="AK41">
        <f>COUNTIF(AK2:AK40,"oui")</f>
        <v>0</v>
      </c>
      <c r="AL41">
        <f>COUNTIF(AL2:AL40,"oui")</f>
        <v>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C2601E58-EFC8-4F52-80C0-4C766F0BEB20}">
          <x14:formula1>
            <xm:f>src!$K$2:$K$3</xm:f>
          </x14:formula1>
          <xm:sqref>B1:B40</xm:sqref>
        </x14:dataValidation>
        <x14:dataValidation type="list" allowBlank="1" showInputMessage="1" showErrorMessage="1" xr:uid="{224C26DD-8157-481F-B493-C04B48AA4CEE}">
          <x14:formula1>
            <xm:f>src!$L$2:$L$3</xm:f>
          </x14:formula1>
          <xm:sqref>D2:AL40 AN2:BR40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967CC-D32B-4B30-A072-8449A119AF22}">
  <dimension ref="A1:BR32"/>
  <sheetViews>
    <sheetView workbookViewId="0">
      <pane xSplit="1" topLeftCell="BM1" activePane="topRight" state="frozen"/>
      <selection pane="topRight" activeCell="BT22" sqref="BT22"/>
    </sheetView>
  </sheetViews>
  <sheetFormatPr defaultRowHeight="15"/>
  <cols>
    <col min="1" max="1" width="65.5703125" bestFit="1" customWidth="1"/>
    <col min="2" max="2" width="10.42578125" bestFit="1" customWidth="1"/>
    <col min="40" max="40" width="24.7109375" bestFit="1" customWidth="1"/>
    <col min="41" max="41" width="18.140625" bestFit="1" customWidth="1"/>
    <col min="42" max="42" width="22.85546875" bestFit="1" customWidth="1"/>
    <col min="43" max="43" width="37.5703125" bestFit="1" customWidth="1"/>
    <col min="44" max="44" width="22.85546875" bestFit="1" customWidth="1"/>
    <col min="45" max="45" width="26.42578125" bestFit="1" customWidth="1"/>
    <col min="46" max="46" width="23.28515625" bestFit="1" customWidth="1"/>
    <col min="47" max="47" width="32.42578125" bestFit="1" customWidth="1"/>
    <col min="48" max="48" width="16" bestFit="1" customWidth="1"/>
    <col min="49" max="49" width="14.42578125" bestFit="1" customWidth="1"/>
    <col min="50" max="50" width="22.42578125" bestFit="1" customWidth="1"/>
    <col min="51" max="51" width="14.140625" bestFit="1" customWidth="1"/>
    <col min="52" max="52" width="27.42578125" bestFit="1" customWidth="1"/>
    <col min="53" max="53" width="23.140625" bestFit="1" customWidth="1"/>
    <col min="54" max="54" width="26.28515625" bestFit="1" customWidth="1"/>
    <col min="55" max="55" width="31.85546875" bestFit="1" customWidth="1"/>
    <col min="56" max="56" width="24.85546875" bestFit="1" customWidth="1"/>
    <col min="57" max="57" width="34.85546875" bestFit="1" customWidth="1"/>
    <col min="58" max="58" width="22.5703125" bestFit="1" customWidth="1"/>
    <col min="59" max="59" width="26" bestFit="1" customWidth="1"/>
    <col min="60" max="60" width="34.5703125" bestFit="1" customWidth="1"/>
    <col min="61" max="61" width="13.7109375" bestFit="1" customWidth="1"/>
    <col min="62" max="62" width="18.5703125" bestFit="1" customWidth="1"/>
    <col min="63" max="63" width="22.5703125" bestFit="1" customWidth="1"/>
    <col min="64" max="64" width="45.28515625" bestFit="1" customWidth="1"/>
    <col min="65" max="65" width="25.7109375" bestFit="1" customWidth="1"/>
    <col min="66" max="66" width="11.42578125" bestFit="1" customWidth="1"/>
    <col min="67" max="67" width="20.42578125" bestFit="1" customWidth="1"/>
    <col min="68" max="68" width="19.7109375" bestFit="1" customWidth="1"/>
    <col min="69" max="69" width="15.28515625" bestFit="1" customWidth="1"/>
    <col min="70" max="70" width="28.7109375" bestFit="1" customWidth="1"/>
  </cols>
  <sheetData>
    <row r="1" spans="1:70">
      <c r="A1" s="2" t="s">
        <v>817</v>
      </c>
      <c r="B1" s="2" t="s">
        <v>818</v>
      </c>
      <c r="C1" s="2" t="s">
        <v>819</v>
      </c>
      <c r="D1" s="2" t="s">
        <v>820</v>
      </c>
      <c r="E1" s="2" t="s">
        <v>821</v>
      </c>
      <c r="F1" s="2" t="s">
        <v>822</v>
      </c>
      <c r="G1" s="2" t="s">
        <v>823</v>
      </c>
      <c r="H1" s="2" t="s">
        <v>824</v>
      </c>
      <c r="I1" s="2" t="s">
        <v>825</v>
      </c>
      <c r="J1" s="2" t="s">
        <v>826</v>
      </c>
      <c r="K1" s="2" t="s">
        <v>827</v>
      </c>
      <c r="L1" s="2" t="s">
        <v>828</v>
      </c>
      <c r="M1" s="2" t="s">
        <v>829</v>
      </c>
      <c r="N1" s="2" t="s">
        <v>830</v>
      </c>
      <c r="O1" s="2" t="s">
        <v>831</v>
      </c>
      <c r="P1" s="2" t="s">
        <v>832</v>
      </c>
      <c r="Q1" s="2" t="s">
        <v>833</v>
      </c>
      <c r="R1" s="2" t="s">
        <v>834</v>
      </c>
      <c r="S1" s="2" t="s">
        <v>835</v>
      </c>
      <c r="T1" s="2" t="s">
        <v>836</v>
      </c>
      <c r="U1" s="2" t="s">
        <v>837</v>
      </c>
      <c r="V1" s="2" t="s">
        <v>838</v>
      </c>
      <c r="W1" s="2" t="s">
        <v>839</v>
      </c>
      <c r="X1" s="2" t="s">
        <v>840</v>
      </c>
      <c r="Y1" s="2" t="s">
        <v>841</v>
      </c>
      <c r="Z1" s="2" t="s">
        <v>842</v>
      </c>
      <c r="AA1" s="2" t="s">
        <v>843</v>
      </c>
      <c r="AB1" s="2" t="s">
        <v>844</v>
      </c>
      <c r="AC1" s="2" t="s">
        <v>845</v>
      </c>
      <c r="AD1" s="2" t="s">
        <v>846</v>
      </c>
      <c r="AE1" s="2" t="s">
        <v>847</v>
      </c>
      <c r="AF1" s="2" t="s">
        <v>848</v>
      </c>
      <c r="AG1" s="2" t="s">
        <v>849</v>
      </c>
      <c r="AH1" s="2" t="s">
        <v>850</v>
      </c>
      <c r="AI1" s="2" t="s">
        <v>851</v>
      </c>
      <c r="AJ1" s="2" t="s">
        <v>852</v>
      </c>
      <c r="AK1" s="2" t="s">
        <v>853</v>
      </c>
      <c r="AL1" s="2" t="s">
        <v>854</v>
      </c>
      <c r="AM1" s="2" t="s">
        <v>887</v>
      </c>
      <c r="AN1" s="2" t="s">
        <v>856</v>
      </c>
      <c r="AO1" s="2" t="s">
        <v>857</v>
      </c>
      <c r="AP1" s="2" t="s">
        <v>858</v>
      </c>
      <c r="AQ1" s="2" t="s">
        <v>859</v>
      </c>
      <c r="AR1" s="2" t="s">
        <v>860</v>
      </c>
      <c r="AS1" s="2" t="s">
        <v>861</v>
      </c>
      <c r="AT1" s="2" t="s">
        <v>862</v>
      </c>
      <c r="AU1" s="2" t="s">
        <v>863</v>
      </c>
      <c r="AV1" s="2" t="s">
        <v>864</v>
      </c>
      <c r="AW1" s="2" t="s">
        <v>865</v>
      </c>
      <c r="AX1" s="2" t="s">
        <v>866</v>
      </c>
      <c r="AY1" s="2" t="s">
        <v>375</v>
      </c>
      <c r="AZ1" s="2" t="s">
        <v>867</v>
      </c>
      <c r="BA1" s="2" t="s">
        <v>868</v>
      </c>
      <c r="BB1" s="2" t="s">
        <v>869</v>
      </c>
      <c r="BC1" s="2" t="s">
        <v>870</v>
      </c>
      <c r="BD1" s="2" t="s">
        <v>871</v>
      </c>
      <c r="BE1" s="2" t="s">
        <v>872</v>
      </c>
      <c r="BF1" s="2" t="s">
        <v>873</v>
      </c>
      <c r="BG1" s="2" t="s">
        <v>874</v>
      </c>
      <c r="BH1" s="2" t="s">
        <v>875</v>
      </c>
      <c r="BI1" s="2" t="s">
        <v>876</v>
      </c>
      <c r="BJ1" s="2" t="s">
        <v>877</v>
      </c>
      <c r="BK1" s="2" t="s">
        <v>878</v>
      </c>
      <c r="BL1" s="2" t="s">
        <v>879</v>
      </c>
      <c r="BM1" s="2" t="s">
        <v>880</v>
      </c>
      <c r="BN1" s="2" t="s">
        <v>881</v>
      </c>
      <c r="BO1" s="2" t="s">
        <v>882</v>
      </c>
      <c r="BP1" s="2" t="s">
        <v>883</v>
      </c>
      <c r="BQ1" s="2" t="s">
        <v>884</v>
      </c>
      <c r="BR1" s="2" t="s">
        <v>885</v>
      </c>
    </row>
    <row r="2" spans="1:70">
      <c r="A2" s="4" t="s">
        <v>159</v>
      </c>
      <c r="B2" t="s">
        <v>28</v>
      </c>
      <c r="C2">
        <f>AM2</f>
        <v>3</v>
      </c>
      <c r="U2" t="s">
        <v>28</v>
      </c>
      <c r="X2" t="s">
        <v>28</v>
      </c>
      <c r="AG2" t="s">
        <v>28</v>
      </c>
      <c r="AM2">
        <f>COUNTIF(D2:AL2,"oui")</f>
        <v>3</v>
      </c>
      <c r="AR2" t="s">
        <v>28</v>
      </c>
      <c r="AY2" t="s">
        <v>28</v>
      </c>
      <c r="BH2" t="s">
        <v>28</v>
      </c>
      <c r="BI2" t="s">
        <v>28</v>
      </c>
    </row>
    <row r="3" spans="1:70">
      <c r="A3" s="4" t="s">
        <v>167</v>
      </c>
      <c r="B3" t="s">
        <v>28</v>
      </c>
      <c r="C3">
        <f>AM3</f>
        <v>3</v>
      </c>
      <c r="R3" t="s">
        <v>28</v>
      </c>
      <c r="U3" t="s">
        <v>28</v>
      </c>
      <c r="X3" t="s">
        <v>28</v>
      </c>
      <c r="AM3">
        <f t="shared" ref="AM3:AM31" si="0">COUNTIF(D3:AL3,"oui")</f>
        <v>3</v>
      </c>
      <c r="AN3" t="s">
        <v>28</v>
      </c>
      <c r="AO3" t="s">
        <v>28</v>
      </c>
      <c r="AV3" t="s">
        <v>28</v>
      </c>
      <c r="AW3" t="s">
        <v>28</v>
      </c>
      <c r="AX3" t="s">
        <v>28</v>
      </c>
      <c r="BE3" t="s">
        <v>28</v>
      </c>
    </row>
    <row r="4" spans="1:70">
      <c r="A4" s="4" t="s">
        <v>170</v>
      </c>
      <c r="B4" t="s">
        <v>28</v>
      </c>
      <c r="C4">
        <f>AM4</f>
        <v>3</v>
      </c>
      <c r="T4" t="s">
        <v>28</v>
      </c>
      <c r="W4" t="s">
        <v>28</v>
      </c>
      <c r="Y4" t="s">
        <v>28</v>
      </c>
      <c r="AM4">
        <f t="shared" si="0"/>
        <v>3</v>
      </c>
      <c r="AQ4" t="s">
        <v>28</v>
      </c>
      <c r="AR4" t="s">
        <v>28</v>
      </c>
      <c r="AV4" t="s">
        <v>28</v>
      </c>
      <c r="AW4" t="s">
        <v>28</v>
      </c>
      <c r="BF4" t="s">
        <v>50</v>
      </c>
      <c r="BM4" t="s">
        <v>50</v>
      </c>
      <c r="BN4" t="s">
        <v>28</v>
      </c>
    </row>
    <row r="5" spans="1:70">
      <c r="A5" s="4" t="s">
        <v>173</v>
      </c>
      <c r="B5" t="s">
        <v>28</v>
      </c>
      <c r="C5">
        <f>AM5</f>
        <v>3</v>
      </c>
      <c r="V5" t="s">
        <v>28</v>
      </c>
      <c r="Z5" t="s">
        <v>28</v>
      </c>
      <c r="AA5" t="s">
        <v>28</v>
      </c>
      <c r="AM5">
        <f t="shared" si="0"/>
        <v>3</v>
      </c>
      <c r="AU5" t="s">
        <v>28</v>
      </c>
      <c r="BD5" t="s">
        <v>28</v>
      </c>
      <c r="BE5" t="s">
        <v>28</v>
      </c>
      <c r="BG5" t="s">
        <v>28</v>
      </c>
      <c r="BH5" t="s">
        <v>28</v>
      </c>
      <c r="BI5" t="s">
        <v>28</v>
      </c>
    </row>
    <row r="6" spans="1:70">
      <c r="A6" s="4" t="s">
        <v>176</v>
      </c>
      <c r="B6" t="s">
        <v>28</v>
      </c>
      <c r="C6">
        <f>AM6</f>
        <v>3</v>
      </c>
      <c r="T6" t="s">
        <v>28</v>
      </c>
      <c r="V6" t="s">
        <v>28</v>
      </c>
      <c r="Y6" t="s">
        <v>28</v>
      </c>
      <c r="AM6">
        <f t="shared" si="0"/>
        <v>3</v>
      </c>
      <c r="AW6" t="s">
        <v>28</v>
      </c>
      <c r="BB6" t="s">
        <v>28</v>
      </c>
      <c r="BN6" t="s">
        <v>28</v>
      </c>
      <c r="BO6" t="s">
        <v>28</v>
      </c>
    </row>
    <row r="7" spans="1:70">
      <c r="A7" s="4" t="s">
        <v>179</v>
      </c>
      <c r="B7" t="s">
        <v>28</v>
      </c>
      <c r="C7">
        <f>AM7</f>
        <v>3</v>
      </c>
      <c r="W7" t="s">
        <v>28</v>
      </c>
      <c r="Z7" t="s">
        <v>28</v>
      </c>
      <c r="AA7" t="s">
        <v>28</v>
      </c>
      <c r="AM7">
        <f t="shared" si="0"/>
        <v>3</v>
      </c>
      <c r="AS7" t="s">
        <v>28</v>
      </c>
      <c r="AU7" t="s">
        <v>28</v>
      </c>
      <c r="BD7" t="s">
        <v>28</v>
      </c>
      <c r="BG7" t="s">
        <v>28</v>
      </c>
      <c r="BR7" t="s">
        <v>28</v>
      </c>
    </row>
    <row r="8" spans="1:70">
      <c r="A8" s="4" t="s">
        <v>182</v>
      </c>
      <c r="B8" t="s">
        <v>28</v>
      </c>
      <c r="C8">
        <f>AM8</f>
        <v>3</v>
      </c>
      <c r="V8" t="s">
        <v>28</v>
      </c>
      <c r="Y8" t="s">
        <v>28</v>
      </c>
      <c r="AD8" t="s">
        <v>28</v>
      </c>
      <c r="AM8">
        <f t="shared" si="0"/>
        <v>3</v>
      </c>
      <c r="BB8" t="s">
        <v>28</v>
      </c>
      <c r="BH8" t="s">
        <v>28</v>
      </c>
      <c r="BJ8" t="s">
        <v>28</v>
      </c>
      <c r="BK8" t="s">
        <v>28</v>
      </c>
    </row>
    <row r="9" spans="1:70">
      <c r="A9" s="4" t="s">
        <v>185</v>
      </c>
      <c r="B9" t="s">
        <v>28</v>
      </c>
      <c r="C9">
        <f>AM9</f>
        <v>3</v>
      </c>
      <c r="I9" t="s">
        <v>28</v>
      </c>
      <c r="M9" t="s">
        <v>28</v>
      </c>
      <c r="AB9" t="s">
        <v>28</v>
      </c>
      <c r="AM9">
        <f t="shared" si="0"/>
        <v>3</v>
      </c>
      <c r="BA9" t="s">
        <v>28</v>
      </c>
      <c r="BB9" t="s">
        <v>28</v>
      </c>
      <c r="BJ9" t="s">
        <v>28</v>
      </c>
      <c r="BK9" t="s">
        <v>28</v>
      </c>
    </row>
    <row r="10" spans="1:70">
      <c r="A10" s="4" t="s">
        <v>188</v>
      </c>
      <c r="B10" t="s">
        <v>28</v>
      </c>
      <c r="C10">
        <f>AM10</f>
        <v>3</v>
      </c>
      <c r="F10" t="s">
        <v>28</v>
      </c>
      <c r="S10" t="s">
        <v>28</v>
      </c>
      <c r="W10" t="s">
        <v>28</v>
      </c>
      <c r="AM10">
        <f t="shared" si="0"/>
        <v>3</v>
      </c>
      <c r="AO10" t="s">
        <v>28</v>
      </c>
      <c r="AP10" t="s">
        <v>28</v>
      </c>
      <c r="AR10" t="s">
        <v>28</v>
      </c>
      <c r="AU10" t="s">
        <v>28</v>
      </c>
    </row>
    <row r="11" spans="1:70">
      <c r="A11" s="4" t="s">
        <v>191</v>
      </c>
      <c r="B11" t="s">
        <v>28</v>
      </c>
      <c r="C11">
        <f>AM11</f>
        <v>3</v>
      </c>
      <c r="T11" t="s">
        <v>28</v>
      </c>
      <c r="V11" t="s">
        <v>28</v>
      </c>
      <c r="Z11" t="s">
        <v>28</v>
      </c>
      <c r="AM11">
        <f t="shared" si="0"/>
        <v>3</v>
      </c>
      <c r="AW11" t="s">
        <v>28</v>
      </c>
      <c r="BB11" t="s">
        <v>28</v>
      </c>
      <c r="BO11" t="s">
        <v>28</v>
      </c>
      <c r="BQ11" t="s">
        <v>28</v>
      </c>
    </row>
    <row r="12" spans="1:70">
      <c r="A12" s="4" t="s">
        <v>194</v>
      </c>
      <c r="B12" t="s">
        <v>28</v>
      </c>
      <c r="C12">
        <f>AM12</f>
        <v>3</v>
      </c>
      <c r="H12" t="s">
        <v>28</v>
      </c>
      <c r="S12" t="s">
        <v>28</v>
      </c>
      <c r="W12" t="s">
        <v>28</v>
      </c>
      <c r="AM12">
        <f t="shared" si="0"/>
        <v>3</v>
      </c>
      <c r="AO12" t="s">
        <v>28</v>
      </c>
      <c r="AR12" t="s">
        <v>28</v>
      </c>
      <c r="AU12" t="s">
        <v>28</v>
      </c>
      <c r="BR12" t="s">
        <v>28</v>
      </c>
    </row>
    <row r="13" spans="1:70">
      <c r="A13" s="4" t="s">
        <v>197</v>
      </c>
      <c r="B13" t="s">
        <v>28</v>
      </c>
      <c r="C13">
        <f>AM13</f>
        <v>0</v>
      </c>
      <c r="AM13">
        <f t="shared" si="0"/>
        <v>0</v>
      </c>
      <c r="AN13" t="s">
        <v>28</v>
      </c>
      <c r="AQ13" t="s">
        <v>28</v>
      </c>
      <c r="AR13" t="s">
        <v>28</v>
      </c>
      <c r="BK13" t="s">
        <v>28</v>
      </c>
    </row>
    <row r="14" spans="1:70">
      <c r="A14" s="4" t="s">
        <v>304</v>
      </c>
      <c r="B14" t="s">
        <v>28</v>
      </c>
      <c r="C14">
        <f t="shared" ref="C14:C19" si="1">AM14</f>
        <v>3</v>
      </c>
      <c r="F14" t="s">
        <v>28</v>
      </c>
      <c r="R14" t="s">
        <v>28</v>
      </c>
      <c r="T14" t="s">
        <v>28</v>
      </c>
      <c r="AM14">
        <f t="shared" si="0"/>
        <v>3</v>
      </c>
      <c r="AN14" t="s">
        <v>28</v>
      </c>
      <c r="AR14" t="s">
        <v>28</v>
      </c>
      <c r="AV14" t="s">
        <v>28</v>
      </c>
      <c r="AW14" t="s">
        <v>28</v>
      </c>
      <c r="BI14" t="s">
        <v>28</v>
      </c>
      <c r="BJ14" t="s">
        <v>28</v>
      </c>
      <c r="BQ14" t="s">
        <v>28</v>
      </c>
    </row>
    <row r="15" spans="1:70">
      <c r="A15" s="4" t="s">
        <v>310</v>
      </c>
      <c r="B15" t="s">
        <v>28</v>
      </c>
      <c r="C15">
        <f t="shared" si="1"/>
        <v>3</v>
      </c>
      <c r="U15" t="s">
        <v>28</v>
      </c>
      <c r="Y15" t="s">
        <v>28</v>
      </c>
      <c r="AA15" t="s">
        <v>28</v>
      </c>
      <c r="AM15">
        <f t="shared" si="0"/>
        <v>3</v>
      </c>
      <c r="AV15" t="s">
        <v>28</v>
      </c>
      <c r="BD15" t="s">
        <v>28</v>
      </c>
      <c r="BE15" t="s">
        <v>28</v>
      </c>
      <c r="BH15" t="s">
        <v>28</v>
      </c>
      <c r="BI15" t="s">
        <v>28</v>
      </c>
      <c r="BQ15" t="s">
        <v>28</v>
      </c>
    </row>
    <row r="16" spans="1:70">
      <c r="A16" s="4" t="s">
        <v>313</v>
      </c>
      <c r="B16" t="s">
        <v>28</v>
      </c>
      <c r="C16">
        <f t="shared" si="1"/>
        <v>3</v>
      </c>
      <c r="H16" t="s">
        <v>28</v>
      </c>
      <c r="S16" t="s">
        <v>28</v>
      </c>
      <c r="V16" t="s">
        <v>28</v>
      </c>
      <c r="AM16">
        <f t="shared" si="0"/>
        <v>3</v>
      </c>
      <c r="AU16" t="s">
        <v>28</v>
      </c>
      <c r="AV16" t="s">
        <v>28</v>
      </c>
      <c r="BD16" t="s">
        <v>28</v>
      </c>
      <c r="BE16" t="s">
        <v>28</v>
      </c>
      <c r="BF16" t="s">
        <v>28</v>
      </c>
      <c r="BL16" t="s">
        <v>28</v>
      </c>
      <c r="BQ16" t="s">
        <v>28</v>
      </c>
    </row>
    <row r="17" spans="1:70">
      <c r="A17" s="4" t="s">
        <v>316</v>
      </c>
      <c r="B17" t="s">
        <v>28</v>
      </c>
      <c r="C17">
        <f t="shared" si="1"/>
        <v>3</v>
      </c>
      <c r="F17" t="s">
        <v>28</v>
      </c>
      <c r="S17" t="s">
        <v>28</v>
      </c>
      <c r="Z17" t="s">
        <v>28</v>
      </c>
      <c r="AM17">
        <f t="shared" si="0"/>
        <v>3</v>
      </c>
      <c r="AO17" t="s">
        <v>28</v>
      </c>
      <c r="AP17" t="s">
        <v>28</v>
      </c>
      <c r="AR17" t="s">
        <v>28</v>
      </c>
      <c r="AS17" t="s">
        <v>28</v>
      </c>
      <c r="AU17" t="s">
        <v>28</v>
      </c>
      <c r="AV17" t="s">
        <v>28</v>
      </c>
      <c r="BF17" t="s">
        <v>28</v>
      </c>
      <c r="BL17" t="s">
        <v>28</v>
      </c>
      <c r="BQ17" t="s">
        <v>28</v>
      </c>
    </row>
    <row r="18" spans="1:70">
      <c r="A18" s="4" t="s">
        <v>320</v>
      </c>
      <c r="B18" t="s">
        <v>28</v>
      </c>
      <c r="C18">
        <f t="shared" si="1"/>
        <v>3</v>
      </c>
      <c r="T18" t="s">
        <v>28</v>
      </c>
      <c r="V18" t="s">
        <v>28</v>
      </c>
      <c r="AB18" t="s">
        <v>28</v>
      </c>
      <c r="AM18">
        <f t="shared" si="0"/>
        <v>3</v>
      </c>
      <c r="AU18" t="s">
        <v>28</v>
      </c>
      <c r="AV18" t="s">
        <v>28</v>
      </c>
      <c r="AW18" t="s">
        <v>28</v>
      </c>
      <c r="BB18" t="s">
        <v>28</v>
      </c>
      <c r="BN18" t="s">
        <v>28</v>
      </c>
      <c r="BO18" t="s">
        <v>28</v>
      </c>
      <c r="BQ18" t="s">
        <v>28</v>
      </c>
    </row>
    <row r="19" spans="1:70">
      <c r="A19" s="4" t="s">
        <v>324</v>
      </c>
      <c r="B19" t="s">
        <v>28</v>
      </c>
      <c r="C19">
        <f t="shared" si="1"/>
        <v>3</v>
      </c>
      <c r="H19" t="s">
        <v>28</v>
      </c>
      <c r="W19" t="s">
        <v>28</v>
      </c>
      <c r="X19" t="s">
        <v>28</v>
      </c>
      <c r="AM19">
        <f t="shared" si="0"/>
        <v>3</v>
      </c>
      <c r="AR19" t="s">
        <v>28</v>
      </c>
      <c r="AU19" t="s">
        <v>28</v>
      </c>
      <c r="AV19" t="s">
        <v>28</v>
      </c>
      <c r="BQ19" t="s">
        <v>28</v>
      </c>
      <c r="BR19" t="s">
        <v>28</v>
      </c>
    </row>
    <row r="20" spans="1:70">
      <c r="A20" s="4" t="s">
        <v>338</v>
      </c>
      <c r="B20" t="s">
        <v>28</v>
      </c>
      <c r="C20">
        <f>AM20</f>
        <v>3</v>
      </c>
      <c r="H20" t="s">
        <v>28</v>
      </c>
      <c r="W20" t="s">
        <v>28</v>
      </c>
      <c r="Z20" t="s">
        <v>28</v>
      </c>
      <c r="AM20">
        <f t="shared" si="0"/>
        <v>3</v>
      </c>
      <c r="AU20" t="s">
        <v>28</v>
      </c>
      <c r="BF20" t="s">
        <v>28</v>
      </c>
      <c r="BL20" t="s">
        <v>28</v>
      </c>
      <c r="BM20" t="s">
        <v>28</v>
      </c>
      <c r="BP20" t="s">
        <v>28</v>
      </c>
      <c r="BQ20" t="s">
        <v>28</v>
      </c>
      <c r="BR20" t="s">
        <v>28</v>
      </c>
    </row>
    <row r="21" spans="1:70">
      <c r="A21" s="4" t="s">
        <v>378</v>
      </c>
      <c r="B21" t="s">
        <v>28</v>
      </c>
      <c r="C21">
        <f>AM21</f>
        <v>3</v>
      </c>
      <c r="T21" t="s">
        <v>28</v>
      </c>
      <c r="X21" t="s">
        <v>28</v>
      </c>
      <c r="Z21" t="s">
        <v>28</v>
      </c>
      <c r="AM21">
        <f t="shared" si="0"/>
        <v>3</v>
      </c>
      <c r="AU21" t="s">
        <v>28</v>
      </c>
      <c r="BD21" t="s">
        <v>28</v>
      </c>
      <c r="BG21" t="s">
        <v>28</v>
      </c>
      <c r="BI21" t="s">
        <v>28</v>
      </c>
      <c r="BR21" t="s">
        <v>28</v>
      </c>
    </row>
    <row r="22" spans="1:70">
      <c r="A22" s="4" t="s">
        <v>390</v>
      </c>
      <c r="B22" t="s">
        <v>28</v>
      </c>
      <c r="C22">
        <f>AM22</f>
        <v>3</v>
      </c>
      <c r="D22" t="s">
        <v>28</v>
      </c>
      <c r="E22" t="s">
        <v>28</v>
      </c>
      <c r="F22" t="s">
        <v>28</v>
      </c>
      <c r="AM22">
        <f t="shared" si="0"/>
        <v>3</v>
      </c>
      <c r="AO22" t="s">
        <v>28</v>
      </c>
      <c r="AP22" t="s">
        <v>28</v>
      </c>
      <c r="AX22" t="s">
        <v>28</v>
      </c>
      <c r="BO22" t="s">
        <v>28</v>
      </c>
      <c r="BP22" t="s">
        <v>28</v>
      </c>
    </row>
    <row r="23" spans="1:70">
      <c r="A23" s="4" t="s">
        <v>683</v>
      </c>
      <c r="B23" t="s">
        <v>28</v>
      </c>
      <c r="C23">
        <f>AM23</f>
        <v>3</v>
      </c>
      <c r="E23" t="s">
        <v>28</v>
      </c>
      <c r="F23" t="s">
        <v>28</v>
      </c>
      <c r="H23" t="s">
        <v>28</v>
      </c>
      <c r="AM23">
        <f t="shared" si="0"/>
        <v>3</v>
      </c>
      <c r="AO23" t="s">
        <v>28</v>
      </c>
      <c r="AP23" t="s">
        <v>28</v>
      </c>
      <c r="AR23" t="s">
        <v>28</v>
      </c>
      <c r="AS23" t="s">
        <v>28</v>
      </c>
      <c r="AU23" t="s">
        <v>28</v>
      </c>
      <c r="AV23" t="s">
        <v>28</v>
      </c>
      <c r="AX23" t="s">
        <v>28</v>
      </c>
    </row>
    <row r="24" spans="1:70">
      <c r="A24" s="4" t="s">
        <v>360</v>
      </c>
      <c r="B24" t="s">
        <v>28</v>
      </c>
      <c r="C24">
        <f>AM24</f>
        <v>3</v>
      </c>
      <c r="E24" t="s">
        <v>28</v>
      </c>
      <c r="N24" t="s">
        <v>28</v>
      </c>
      <c r="V24" t="s">
        <v>28</v>
      </c>
      <c r="AM24">
        <f t="shared" si="0"/>
        <v>3</v>
      </c>
      <c r="AT24" t="s">
        <v>28</v>
      </c>
      <c r="AU24" t="s">
        <v>28</v>
      </c>
      <c r="BC24" t="s">
        <v>28</v>
      </c>
      <c r="BL24" t="s">
        <v>28</v>
      </c>
    </row>
    <row r="25" spans="1:70">
      <c r="A25" s="4" t="s">
        <v>356</v>
      </c>
      <c r="B25" t="s">
        <v>28</v>
      </c>
      <c r="C25">
        <f>AM25</f>
        <v>5</v>
      </c>
      <c r="D25" t="s">
        <v>28</v>
      </c>
      <c r="H25" t="s">
        <v>28</v>
      </c>
      <c r="U25" t="s">
        <v>28</v>
      </c>
      <c r="W25" t="s">
        <v>28</v>
      </c>
      <c r="X25" t="s">
        <v>28</v>
      </c>
      <c r="AM25">
        <f t="shared" si="0"/>
        <v>5</v>
      </c>
      <c r="AN25" t="s">
        <v>28</v>
      </c>
      <c r="AQ25" t="s">
        <v>28</v>
      </c>
      <c r="BJ25" t="s">
        <v>28</v>
      </c>
      <c r="BK25" t="s">
        <v>28</v>
      </c>
      <c r="BM25" t="s">
        <v>28</v>
      </c>
    </row>
    <row r="26" spans="1:70">
      <c r="A26" s="4" t="s">
        <v>365</v>
      </c>
      <c r="B26" t="s">
        <v>28</v>
      </c>
      <c r="C26">
        <f>AM26</f>
        <v>2</v>
      </c>
      <c r="U26" t="s">
        <v>28</v>
      </c>
      <c r="W26" t="s">
        <v>28</v>
      </c>
      <c r="AM26">
        <f t="shared" si="0"/>
        <v>2</v>
      </c>
      <c r="BH26" t="s">
        <v>28</v>
      </c>
      <c r="BI26" t="s">
        <v>28</v>
      </c>
      <c r="BJ26" t="s">
        <v>28</v>
      </c>
      <c r="BK26" t="s">
        <v>28</v>
      </c>
      <c r="BM26" t="s">
        <v>28</v>
      </c>
    </row>
    <row r="27" spans="1:70">
      <c r="A27" s="4" t="s">
        <v>370</v>
      </c>
      <c r="B27" t="s">
        <v>28</v>
      </c>
      <c r="C27">
        <f>AM27</f>
        <v>3</v>
      </c>
      <c r="E27" t="s">
        <v>50</v>
      </c>
      <c r="F27" t="s">
        <v>50</v>
      </c>
      <c r="H27" t="s">
        <v>50</v>
      </c>
      <c r="J27" t="s">
        <v>28</v>
      </c>
      <c r="L27" t="s">
        <v>28</v>
      </c>
      <c r="O27" t="s">
        <v>28</v>
      </c>
      <c r="AM27">
        <f t="shared" si="0"/>
        <v>3</v>
      </c>
      <c r="AQ27" t="s">
        <v>28</v>
      </c>
      <c r="BA27" t="s">
        <v>28</v>
      </c>
      <c r="BB27" t="s">
        <v>28</v>
      </c>
      <c r="BO27" t="s">
        <v>28</v>
      </c>
      <c r="BP27" t="s">
        <v>28</v>
      </c>
    </row>
    <row r="28" spans="1:70">
      <c r="A28" s="4" t="s">
        <v>632</v>
      </c>
      <c r="B28" t="s">
        <v>28</v>
      </c>
      <c r="C28">
        <f t="shared" ref="C28:C29" si="2">AM28</f>
        <v>3</v>
      </c>
      <c r="E28" t="s">
        <v>28</v>
      </c>
      <c r="F28" t="s">
        <v>28</v>
      </c>
      <c r="H28" t="s">
        <v>28</v>
      </c>
      <c r="AM28">
        <f t="shared" si="0"/>
        <v>3</v>
      </c>
      <c r="AR28" t="s">
        <v>28</v>
      </c>
      <c r="AT28" t="s">
        <v>28</v>
      </c>
      <c r="AW28" t="s">
        <v>28</v>
      </c>
      <c r="AZ28" t="s">
        <v>28</v>
      </c>
    </row>
    <row r="29" spans="1:70">
      <c r="A29" s="4" t="s">
        <v>680</v>
      </c>
      <c r="B29" t="s">
        <v>28</v>
      </c>
      <c r="C29">
        <f t="shared" si="2"/>
        <v>3</v>
      </c>
      <c r="E29" t="s">
        <v>28</v>
      </c>
      <c r="F29" t="s">
        <v>28</v>
      </c>
      <c r="G29" t="s">
        <v>28</v>
      </c>
      <c r="AM29">
        <f t="shared" si="0"/>
        <v>3</v>
      </c>
      <c r="AR29" t="s">
        <v>28</v>
      </c>
      <c r="AT29" t="s">
        <v>28</v>
      </c>
    </row>
    <row r="30" spans="1:70">
      <c r="A30" s="4" t="s">
        <v>560</v>
      </c>
      <c r="B30" t="s">
        <v>28</v>
      </c>
      <c r="C30">
        <f>AM30</f>
        <v>3</v>
      </c>
      <c r="M30" t="s">
        <v>28</v>
      </c>
      <c r="O30" t="s">
        <v>28</v>
      </c>
      <c r="P30" t="s">
        <v>28</v>
      </c>
      <c r="AM30">
        <f t="shared" si="0"/>
        <v>3</v>
      </c>
      <c r="AY30" t="s">
        <v>28</v>
      </c>
      <c r="AZ30" t="s">
        <v>28</v>
      </c>
      <c r="BD30" t="s">
        <v>28</v>
      </c>
      <c r="BI30" t="s">
        <v>28</v>
      </c>
    </row>
    <row r="31" spans="1:70">
      <c r="A31" s="4" t="s">
        <v>689</v>
      </c>
      <c r="B31" t="s">
        <v>28</v>
      </c>
      <c r="C31">
        <f>AM31</f>
        <v>3</v>
      </c>
      <c r="L31" t="s">
        <v>28</v>
      </c>
      <c r="AA31" t="s">
        <v>28</v>
      </c>
      <c r="AB31" t="s">
        <v>28</v>
      </c>
      <c r="AM31">
        <f t="shared" si="0"/>
        <v>3</v>
      </c>
      <c r="AZ31" t="s">
        <v>28</v>
      </c>
      <c r="BA31" t="s">
        <v>28</v>
      </c>
      <c r="BC31" t="s">
        <v>28</v>
      </c>
      <c r="BO31" t="s">
        <v>28</v>
      </c>
    </row>
    <row r="32" spans="1:70">
      <c r="D32">
        <f>COUNTIF(D2:D31,"oui")</f>
        <v>2</v>
      </c>
      <c r="E32">
        <f>COUNTIF(E2:E31,"oui")</f>
        <v>5</v>
      </c>
      <c r="F32">
        <f>COUNTIF(F2:F31,"oui")</f>
        <v>7</v>
      </c>
      <c r="G32">
        <f>COUNTIF(G2:G31,"oui")</f>
        <v>1</v>
      </c>
      <c r="H32">
        <f>COUNTIF(H2:H31,"oui")</f>
        <v>7</v>
      </c>
      <c r="I32">
        <f>COUNTIF(I2:I31,"oui")</f>
        <v>1</v>
      </c>
      <c r="J32">
        <f>COUNTIF(J2:J31,"oui")</f>
        <v>1</v>
      </c>
      <c r="K32">
        <f>COUNTIF(K2:K31,"oui")</f>
        <v>0</v>
      </c>
      <c r="L32">
        <f>COUNTIF(L2:L31,"oui")</f>
        <v>2</v>
      </c>
      <c r="M32">
        <f>COUNTIF(M2:M31,"oui")</f>
        <v>2</v>
      </c>
      <c r="N32">
        <f>COUNTIF(N2:N31,"oui")</f>
        <v>1</v>
      </c>
      <c r="O32">
        <f>COUNTIF(O2:O31,"oui")</f>
        <v>2</v>
      </c>
      <c r="P32">
        <f>COUNTIF(P2:P31,"oui")</f>
        <v>1</v>
      </c>
      <c r="Q32">
        <f>COUNTIF(Q2:Q31,"oui")</f>
        <v>0</v>
      </c>
      <c r="R32">
        <f>COUNTIF(R2:R31,"oui")</f>
        <v>2</v>
      </c>
      <c r="S32">
        <f>COUNTIF(S2:S31,"oui")</f>
        <v>4</v>
      </c>
      <c r="T32">
        <f>COUNTIF(T2:T31,"oui")</f>
        <v>6</v>
      </c>
      <c r="U32">
        <f>COUNTIF(U2:U31,"oui")</f>
        <v>5</v>
      </c>
      <c r="V32">
        <f>COUNTIF(V2:V31,"oui")</f>
        <v>7</v>
      </c>
      <c r="W32">
        <f>COUNTIF(W2:W31,"oui")</f>
        <v>8</v>
      </c>
      <c r="X32">
        <f>COUNTIF(X2:X31,"oui")</f>
        <v>5</v>
      </c>
      <c r="Y32">
        <f>COUNTIF(Y2:Y31,"oui")</f>
        <v>4</v>
      </c>
      <c r="Z32">
        <f>COUNTIF(Z2:Z31,"oui")</f>
        <v>6</v>
      </c>
      <c r="AA32">
        <f>COUNTIF(AA2:AA31,"oui")</f>
        <v>4</v>
      </c>
      <c r="AB32">
        <f>COUNTIF(AB2:AB31,"oui")</f>
        <v>3</v>
      </c>
      <c r="AC32">
        <f>COUNTIF(AC2:AC31,"oui")</f>
        <v>0</v>
      </c>
      <c r="AD32">
        <f>COUNTIF(AD2:AD31,"oui")</f>
        <v>1</v>
      </c>
      <c r="AE32">
        <f>COUNTIF(AE2:AE31,"oui")</f>
        <v>0</v>
      </c>
      <c r="AF32">
        <f>COUNTIF(AF2:AF31,"oui")</f>
        <v>0</v>
      </c>
      <c r="AG32">
        <f>COUNTIF(AG2:AG31,"oui")</f>
        <v>1</v>
      </c>
      <c r="AH32">
        <f>COUNTIF(AH2:AH31,"oui")</f>
        <v>0</v>
      </c>
      <c r="AI32">
        <f>COUNTIF(AI2:AI31,"oui")</f>
        <v>0</v>
      </c>
      <c r="AJ32">
        <f>COUNTIF(AJ2:AJ31,"oui")</f>
        <v>0</v>
      </c>
      <c r="AK32">
        <f>COUNTIF(AK2:AK31,"oui")</f>
        <v>0</v>
      </c>
      <c r="AL32">
        <f>COUNTIF(AL2:AL31,"oui")</f>
        <v>0</v>
      </c>
      <c r="AM32">
        <f t="shared" ref="AM32" si="3">COUNTIF(D32:AL32,"oui")</f>
        <v>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74E647E6-7912-4287-960C-05CCEF9DCB51}">
          <x14:formula1>
            <xm:f>src!$L$2:$L$3</xm:f>
          </x14:formula1>
          <xm:sqref>D2:AL19 D20:E20 G20:AL20 D21:AL31 AN2:BR31</xm:sqref>
        </x14:dataValidation>
        <x14:dataValidation type="list" allowBlank="1" showInputMessage="1" showErrorMessage="1" xr:uid="{699E3C46-8D4D-419D-B376-6132B67F224B}">
          <x14:formula1>
            <xm:f>src!$K$2:$K$3</xm:f>
          </x14:formula1>
          <xm:sqref>B1:B32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DDD06-5ADE-477F-BA78-8E806933088D}">
  <dimension ref="A1:BR30"/>
  <sheetViews>
    <sheetView workbookViewId="0">
      <pane xSplit="1" topLeftCell="BF1" activePane="topRight" state="frozen"/>
      <selection pane="topRight" activeCell="BO28" sqref="BO28"/>
    </sheetView>
  </sheetViews>
  <sheetFormatPr defaultRowHeight="15"/>
  <cols>
    <col min="1" max="1" width="33.140625" bestFit="1" customWidth="1"/>
    <col min="40" max="40" width="24.7109375" bestFit="1" customWidth="1"/>
    <col min="41" max="41" width="18.140625" bestFit="1" customWidth="1"/>
    <col min="42" max="42" width="22.85546875" bestFit="1" customWidth="1"/>
    <col min="43" max="43" width="37.5703125" bestFit="1" customWidth="1"/>
    <col min="44" max="44" width="22.85546875" bestFit="1" customWidth="1"/>
    <col min="45" max="45" width="26.42578125" bestFit="1" customWidth="1"/>
    <col min="46" max="46" width="23.28515625" bestFit="1" customWidth="1"/>
    <col min="47" max="47" width="32.42578125" bestFit="1" customWidth="1"/>
    <col min="48" max="48" width="16" bestFit="1" customWidth="1"/>
    <col min="49" max="49" width="14.42578125" bestFit="1" customWidth="1"/>
    <col min="50" max="50" width="22.42578125" bestFit="1" customWidth="1"/>
    <col min="51" max="51" width="14.140625" bestFit="1" customWidth="1"/>
    <col min="52" max="52" width="27.42578125" bestFit="1" customWidth="1"/>
    <col min="53" max="53" width="23.140625" bestFit="1" customWidth="1"/>
    <col min="54" max="54" width="26.28515625" bestFit="1" customWidth="1"/>
    <col min="55" max="55" width="31.85546875" bestFit="1" customWidth="1"/>
    <col min="56" max="56" width="24.85546875" bestFit="1" customWidth="1"/>
    <col min="57" max="57" width="34.85546875" bestFit="1" customWidth="1"/>
    <col min="58" max="58" width="22.5703125" bestFit="1" customWidth="1"/>
    <col min="59" max="59" width="26" bestFit="1" customWidth="1"/>
    <col min="60" max="60" width="34.5703125" bestFit="1" customWidth="1"/>
    <col min="61" max="61" width="13.7109375" bestFit="1" customWidth="1"/>
    <col min="62" max="62" width="18.5703125" bestFit="1" customWidth="1"/>
    <col min="63" max="63" width="22.5703125" bestFit="1" customWidth="1"/>
    <col min="64" max="64" width="45.28515625" bestFit="1" customWidth="1"/>
    <col min="65" max="65" width="25.7109375" bestFit="1" customWidth="1"/>
    <col min="66" max="66" width="11.42578125" bestFit="1" customWidth="1"/>
    <col min="67" max="67" width="20.42578125" bestFit="1" customWidth="1"/>
    <col min="68" max="68" width="19.7109375" bestFit="1" customWidth="1"/>
    <col min="69" max="69" width="15.28515625" bestFit="1" customWidth="1"/>
    <col min="70" max="70" width="28.7109375" bestFit="1" customWidth="1"/>
  </cols>
  <sheetData>
    <row r="1" spans="1:70">
      <c r="A1" s="2" t="s">
        <v>817</v>
      </c>
      <c r="B1" s="2" t="s">
        <v>818</v>
      </c>
      <c r="C1" s="2" t="s">
        <v>819</v>
      </c>
      <c r="D1" s="2" t="s">
        <v>820</v>
      </c>
      <c r="E1" s="2" t="s">
        <v>821</v>
      </c>
      <c r="F1" s="2" t="s">
        <v>822</v>
      </c>
      <c r="G1" s="2" t="s">
        <v>823</v>
      </c>
      <c r="H1" s="2" t="s">
        <v>824</v>
      </c>
      <c r="I1" s="2" t="s">
        <v>825</v>
      </c>
      <c r="J1" s="2" t="s">
        <v>826</v>
      </c>
      <c r="K1" s="2" t="s">
        <v>827</v>
      </c>
      <c r="L1" s="2" t="s">
        <v>828</v>
      </c>
      <c r="M1" s="2" t="s">
        <v>829</v>
      </c>
      <c r="N1" s="2" t="s">
        <v>830</v>
      </c>
      <c r="O1" s="2" t="s">
        <v>831</v>
      </c>
      <c r="P1" s="2" t="s">
        <v>832</v>
      </c>
      <c r="Q1" s="2" t="s">
        <v>833</v>
      </c>
      <c r="R1" s="2" t="s">
        <v>834</v>
      </c>
      <c r="S1" s="2" t="s">
        <v>835</v>
      </c>
      <c r="T1" s="2" t="s">
        <v>836</v>
      </c>
      <c r="U1" s="2" t="s">
        <v>837</v>
      </c>
      <c r="V1" s="2" t="s">
        <v>838</v>
      </c>
      <c r="W1" s="2" t="s">
        <v>839</v>
      </c>
      <c r="X1" s="2" t="s">
        <v>840</v>
      </c>
      <c r="Y1" s="2" t="s">
        <v>841</v>
      </c>
      <c r="Z1" s="2" t="s">
        <v>842</v>
      </c>
      <c r="AA1" s="2" t="s">
        <v>843</v>
      </c>
      <c r="AB1" s="2" t="s">
        <v>844</v>
      </c>
      <c r="AC1" s="2" t="s">
        <v>845</v>
      </c>
      <c r="AD1" s="2" t="s">
        <v>846</v>
      </c>
      <c r="AE1" s="2" t="s">
        <v>847</v>
      </c>
      <c r="AF1" s="2" t="s">
        <v>848</v>
      </c>
      <c r="AG1" s="2" t="s">
        <v>849</v>
      </c>
      <c r="AH1" s="2" t="s">
        <v>850</v>
      </c>
      <c r="AI1" s="2" t="s">
        <v>851</v>
      </c>
      <c r="AJ1" s="2" t="s">
        <v>852</v>
      </c>
      <c r="AK1" s="2" t="s">
        <v>853</v>
      </c>
      <c r="AL1" s="2" t="s">
        <v>854</v>
      </c>
      <c r="AM1" s="2" t="s">
        <v>888</v>
      </c>
      <c r="AN1" s="2" t="s">
        <v>856</v>
      </c>
      <c r="AO1" s="2" t="s">
        <v>857</v>
      </c>
      <c r="AP1" s="2" t="s">
        <v>858</v>
      </c>
      <c r="AQ1" s="2" t="s">
        <v>859</v>
      </c>
      <c r="AR1" s="2" t="s">
        <v>860</v>
      </c>
      <c r="AS1" s="2" t="s">
        <v>861</v>
      </c>
      <c r="AT1" s="2" t="s">
        <v>862</v>
      </c>
      <c r="AU1" s="2" t="s">
        <v>863</v>
      </c>
      <c r="AV1" s="2" t="s">
        <v>864</v>
      </c>
      <c r="AW1" s="2" t="s">
        <v>865</v>
      </c>
      <c r="AX1" s="2" t="s">
        <v>866</v>
      </c>
      <c r="AY1" s="2" t="s">
        <v>375</v>
      </c>
      <c r="AZ1" s="2" t="s">
        <v>867</v>
      </c>
      <c r="BA1" s="2" t="s">
        <v>868</v>
      </c>
      <c r="BB1" s="2" t="s">
        <v>869</v>
      </c>
      <c r="BC1" s="2" t="s">
        <v>870</v>
      </c>
      <c r="BD1" s="2" t="s">
        <v>871</v>
      </c>
      <c r="BE1" s="2" t="s">
        <v>872</v>
      </c>
      <c r="BF1" s="2" t="s">
        <v>873</v>
      </c>
      <c r="BG1" s="2" t="s">
        <v>874</v>
      </c>
      <c r="BH1" s="2" t="s">
        <v>875</v>
      </c>
      <c r="BI1" s="2" t="s">
        <v>876</v>
      </c>
      <c r="BJ1" s="2" t="s">
        <v>877</v>
      </c>
      <c r="BK1" s="2" t="s">
        <v>878</v>
      </c>
      <c r="BL1" s="2" t="s">
        <v>879</v>
      </c>
      <c r="BM1" s="2" t="s">
        <v>880</v>
      </c>
      <c r="BN1" s="2" t="s">
        <v>881</v>
      </c>
      <c r="BO1" s="2" t="s">
        <v>882</v>
      </c>
      <c r="BP1" s="2" t="s">
        <v>883</v>
      </c>
      <c r="BQ1" s="2" t="s">
        <v>884</v>
      </c>
      <c r="BR1" s="2" t="s">
        <v>885</v>
      </c>
    </row>
    <row r="2" spans="1:70">
      <c r="A2" s="16" t="s">
        <v>724</v>
      </c>
      <c r="B2" t="s">
        <v>28</v>
      </c>
      <c r="C2" s="2">
        <f t="shared" ref="C2:C7" si="0">AM2</f>
        <v>4</v>
      </c>
      <c r="D2" s="2"/>
      <c r="E2" s="2"/>
      <c r="F2" s="2"/>
      <c r="G2" s="2"/>
      <c r="H2" s="2" t="s">
        <v>28</v>
      </c>
      <c r="I2" s="2"/>
      <c r="J2" s="2"/>
      <c r="K2" s="2"/>
      <c r="L2" s="2"/>
      <c r="M2" s="2"/>
      <c r="N2" s="2"/>
      <c r="O2" s="2"/>
      <c r="P2" s="2"/>
      <c r="Q2" s="2"/>
      <c r="R2" s="2" t="s">
        <v>50</v>
      </c>
      <c r="S2" s="2" t="s">
        <v>28</v>
      </c>
      <c r="T2" s="2"/>
      <c r="U2" s="2" t="s">
        <v>50</v>
      </c>
      <c r="V2" s="2"/>
      <c r="W2" s="2" t="s">
        <v>28</v>
      </c>
      <c r="X2" s="2" t="s">
        <v>28</v>
      </c>
      <c r="Y2" s="2"/>
      <c r="Z2" s="2"/>
      <c r="AA2" s="2"/>
      <c r="AB2" s="2"/>
      <c r="AC2" s="2"/>
      <c r="AD2" s="2"/>
      <c r="AE2" s="2"/>
      <c r="AF2" s="2"/>
      <c r="AG2" s="2"/>
      <c r="AH2" s="2"/>
      <c r="AI2" s="2"/>
      <c r="AJ2" s="2"/>
      <c r="AK2" s="2"/>
      <c r="AL2" s="2"/>
      <c r="AM2">
        <f t="shared" ref="AM2:AM9" si="1">COUNTIF(D2:AL2,"oui")</f>
        <v>4</v>
      </c>
    </row>
    <row r="3" spans="1:70">
      <c r="A3" s="16" t="s">
        <v>728</v>
      </c>
      <c r="B3" t="s">
        <v>28</v>
      </c>
      <c r="C3" s="2">
        <f t="shared" si="0"/>
        <v>4</v>
      </c>
      <c r="D3" s="2"/>
      <c r="E3" s="2"/>
      <c r="F3" s="2" t="s">
        <v>28</v>
      </c>
      <c r="G3" s="2"/>
      <c r="H3" s="2"/>
      <c r="I3" s="2"/>
      <c r="J3" s="2"/>
      <c r="K3" s="2"/>
      <c r="L3" s="2"/>
      <c r="M3" s="2"/>
      <c r="N3" s="2"/>
      <c r="O3" s="2"/>
      <c r="P3" s="2"/>
      <c r="Q3" s="2"/>
      <c r="R3" s="2"/>
      <c r="S3" s="2" t="s">
        <v>50</v>
      </c>
      <c r="T3" s="2"/>
      <c r="U3" s="2" t="s">
        <v>28</v>
      </c>
      <c r="V3" s="2"/>
      <c r="W3" s="2"/>
      <c r="X3" s="2"/>
      <c r="Y3" s="2"/>
      <c r="Z3" s="2" t="s">
        <v>28</v>
      </c>
      <c r="AA3" s="2"/>
      <c r="AB3" s="2"/>
      <c r="AC3" s="2"/>
      <c r="AD3" s="2"/>
      <c r="AE3" s="2"/>
      <c r="AF3" s="2"/>
      <c r="AG3" s="2" t="s">
        <v>28</v>
      </c>
      <c r="AH3" s="2"/>
      <c r="AI3" s="2"/>
      <c r="AJ3" s="2"/>
      <c r="AK3" s="2"/>
      <c r="AL3" s="2"/>
      <c r="AM3">
        <f t="shared" si="1"/>
        <v>4</v>
      </c>
      <c r="AR3" t="s">
        <v>28</v>
      </c>
      <c r="BD3" t="s">
        <v>28</v>
      </c>
      <c r="BH3" t="s">
        <v>28</v>
      </c>
      <c r="BI3" t="s">
        <v>28</v>
      </c>
      <c r="BJ3" t="s">
        <v>28</v>
      </c>
      <c r="BR3" t="s">
        <v>28</v>
      </c>
    </row>
    <row r="4" spans="1:70">
      <c r="A4" s="16" t="s">
        <v>732</v>
      </c>
      <c r="B4" t="s">
        <v>28</v>
      </c>
      <c r="C4" s="2">
        <f t="shared" si="0"/>
        <v>4</v>
      </c>
      <c r="D4" s="2"/>
      <c r="E4" s="2" t="s">
        <v>28</v>
      </c>
      <c r="F4" s="2"/>
      <c r="G4" s="2"/>
      <c r="H4" s="2" t="s">
        <v>28</v>
      </c>
      <c r="I4" s="2"/>
      <c r="J4" s="2"/>
      <c r="K4" s="2"/>
      <c r="L4" s="2"/>
      <c r="M4" s="2"/>
      <c r="N4" s="2"/>
      <c r="O4" s="2"/>
      <c r="P4" s="2"/>
      <c r="Q4" s="2"/>
      <c r="R4" s="2"/>
      <c r="S4" s="2"/>
      <c r="T4" s="2"/>
      <c r="U4" s="2" t="s">
        <v>28</v>
      </c>
      <c r="V4" s="2"/>
      <c r="W4" s="2"/>
      <c r="X4" s="2" t="s">
        <v>28</v>
      </c>
      <c r="Y4" s="2"/>
      <c r="Z4" s="2"/>
      <c r="AA4" s="2"/>
      <c r="AB4" s="2"/>
      <c r="AC4" s="2"/>
      <c r="AD4" s="2"/>
      <c r="AE4" s="2"/>
      <c r="AF4" s="2"/>
      <c r="AG4" s="2"/>
      <c r="AH4" s="2"/>
      <c r="AI4" s="2"/>
      <c r="AJ4" s="2"/>
      <c r="AK4" s="2"/>
      <c r="AL4" s="2"/>
      <c r="AM4">
        <f t="shared" si="1"/>
        <v>4</v>
      </c>
      <c r="AW4" t="s">
        <v>28</v>
      </c>
      <c r="BR4" t="s">
        <v>28</v>
      </c>
    </row>
    <row r="5" spans="1:70">
      <c r="A5" s="16" t="s">
        <v>741</v>
      </c>
      <c r="B5" t="s">
        <v>28</v>
      </c>
      <c r="C5" s="2">
        <f t="shared" si="0"/>
        <v>4</v>
      </c>
      <c r="D5" s="2"/>
      <c r="E5" s="2"/>
      <c r="F5" s="2"/>
      <c r="G5" s="2"/>
      <c r="H5" s="2"/>
      <c r="I5" s="2"/>
      <c r="J5" s="2"/>
      <c r="K5" s="2"/>
      <c r="L5" s="2"/>
      <c r="M5" s="2"/>
      <c r="N5" s="2"/>
      <c r="O5" s="2"/>
      <c r="P5" s="2"/>
      <c r="Q5" s="2"/>
      <c r="R5" s="2" t="s">
        <v>28</v>
      </c>
      <c r="S5" s="2"/>
      <c r="T5" s="2" t="s">
        <v>28</v>
      </c>
      <c r="U5" s="2"/>
      <c r="V5" s="2" t="s">
        <v>28</v>
      </c>
      <c r="W5" s="2"/>
      <c r="X5" s="2"/>
      <c r="Y5" s="2"/>
      <c r="Z5" s="2" t="s">
        <v>28</v>
      </c>
      <c r="AA5" s="2"/>
      <c r="AB5" s="2"/>
      <c r="AC5" s="2"/>
      <c r="AD5" s="2"/>
      <c r="AE5" s="2"/>
      <c r="AF5" s="2"/>
      <c r="AG5" s="2"/>
      <c r="AH5" s="2"/>
      <c r="AI5" s="2"/>
      <c r="AJ5" s="2"/>
      <c r="AK5" s="2"/>
      <c r="AL5" s="2"/>
      <c r="AM5">
        <f t="shared" si="1"/>
        <v>4</v>
      </c>
      <c r="AQ5" t="s">
        <v>28</v>
      </c>
      <c r="AV5" t="s">
        <v>28</v>
      </c>
      <c r="AX5" t="s">
        <v>28</v>
      </c>
      <c r="BB5" t="s">
        <v>28</v>
      </c>
      <c r="BM5" t="s">
        <v>28</v>
      </c>
      <c r="BO5" t="s">
        <v>28</v>
      </c>
    </row>
    <row r="6" spans="1:70">
      <c r="A6" s="16" t="s">
        <v>743</v>
      </c>
      <c r="B6" t="s">
        <v>28</v>
      </c>
      <c r="C6" s="2">
        <f t="shared" si="0"/>
        <v>4</v>
      </c>
      <c r="D6" s="2"/>
      <c r="E6" s="2"/>
      <c r="F6" s="2" t="s">
        <v>28</v>
      </c>
      <c r="G6" s="2"/>
      <c r="H6" s="2"/>
      <c r="I6" s="2"/>
      <c r="J6" s="2"/>
      <c r="K6" s="2"/>
      <c r="L6" s="2"/>
      <c r="M6" s="2"/>
      <c r="N6" s="2"/>
      <c r="O6" s="2"/>
      <c r="P6" s="2"/>
      <c r="Q6" s="2"/>
      <c r="R6" s="2"/>
      <c r="S6" s="2" t="s">
        <v>28</v>
      </c>
      <c r="T6" s="2"/>
      <c r="U6" s="2"/>
      <c r="V6" s="2"/>
      <c r="W6" s="2"/>
      <c r="X6" s="2" t="s">
        <v>28</v>
      </c>
      <c r="Y6" s="2" t="s">
        <v>28</v>
      </c>
      <c r="Z6" s="2"/>
      <c r="AA6" s="2"/>
      <c r="AB6" s="2"/>
      <c r="AC6" s="2"/>
      <c r="AD6" s="2"/>
      <c r="AE6" s="2"/>
      <c r="AF6" s="2"/>
      <c r="AG6" s="2"/>
      <c r="AH6" s="2"/>
      <c r="AI6" s="2"/>
      <c r="AJ6" s="2"/>
      <c r="AK6" s="2"/>
      <c r="AL6" s="2"/>
      <c r="AM6">
        <f t="shared" si="1"/>
        <v>4</v>
      </c>
      <c r="AN6" t="s">
        <v>28</v>
      </c>
      <c r="AP6" t="s">
        <v>28</v>
      </c>
      <c r="AS6" t="s">
        <v>28</v>
      </c>
      <c r="BP6" t="s">
        <v>28</v>
      </c>
    </row>
    <row r="7" spans="1:70">
      <c r="A7" s="16" t="s">
        <v>745</v>
      </c>
      <c r="B7" t="s">
        <v>28</v>
      </c>
      <c r="C7" s="2">
        <f t="shared" si="0"/>
        <v>4</v>
      </c>
      <c r="D7" s="2"/>
      <c r="E7" s="2"/>
      <c r="F7" s="2"/>
      <c r="G7" s="2"/>
      <c r="H7" s="2"/>
      <c r="I7" s="2"/>
      <c r="J7" s="2"/>
      <c r="K7" s="2"/>
      <c r="L7" s="2"/>
      <c r="M7" s="2"/>
      <c r="N7" s="2"/>
      <c r="O7" s="2"/>
      <c r="P7" s="2"/>
      <c r="Q7" s="2"/>
      <c r="R7" s="2" t="s">
        <v>28</v>
      </c>
      <c r="S7" s="2" t="s">
        <v>28</v>
      </c>
      <c r="T7" s="2"/>
      <c r="U7" s="2" t="s">
        <v>28</v>
      </c>
      <c r="V7" s="2"/>
      <c r="W7" s="2"/>
      <c r="X7" s="2" t="s">
        <v>28</v>
      </c>
      <c r="Y7" s="2"/>
      <c r="Z7" s="2"/>
      <c r="AA7" s="2"/>
      <c r="AB7" s="2"/>
      <c r="AC7" s="2"/>
      <c r="AD7" s="2"/>
      <c r="AE7" s="2"/>
      <c r="AF7" s="2"/>
      <c r="AG7" s="2"/>
      <c r="AH7" s="2"/>
      <c r="AI7" s="2"/>
      <c r="AJ7" s="2"/>
      <c r="AK7" s="2"/>
      <c r="AL7" s="2"/>
      <c r="AM7">
        <f t="shared" si="1"/>
        <v>4</v>
      </c>
      <c r="AN7" t="s">
        <v>28</v>
      </c>
      <c r="AQ7" t="s">
        <v>28</v>
      </c>
      <c r="AU7" t="s">
        <v>28</v>
      </c>
      <c r="BM7" t="s">
        <v>28</v>
      </c>
    </row>
    <row r="8" spans="1:70">
      <c r="A8" s="4" t="s">
        <v>294</v>
      </c>
      <c r="B8" s="15" t="s">
        <v>28</v>
      </c>
      <c r="C8">
        <f>AM8</f>
        <v>3</v>
      </c>
      <c r="D8" t="s">
        <v>28</v>
      </c>
      <c r="F8" t="s">
        <v>28</v>
      </c>
      <c r="AA8" t="s">
        <v>28</v>
      </c>
      <c r="AM8">
        <f t="shared" si="1"/>
        <v>3</v>
      </c>
      <c r="AN8" t="s">
        <v>28</v>
      </c>
      <c r="AO8" t="s">
        <v>28</v>
      </c>
      <c r="AW8" t="s">
        <v>28</v>
      </c>
    </row>
    <row r="9" spans="1:70">
      <c r="A9" s="4" t="s">
        <v>250</v>
      </c>
      <c r="B9" s="15" t="s">
        <v>28</v>
      </c>
      <c r="C9">
        <f>AM9</f>
        <v>3</v>
      </c>
      <c r="R9" t="s">
        <v>28</v>
      </c>
      <c r="U9" t="s">
        <v>50</v>
      </c>
      <c r="AA9" t="s">
        <v>28</v>
      </c>
      <c r="AB9" t="s">
        <v>28</v>
      </c>
      <c r="AM9">
        <f t="shared" si="1"/>
        <v>3</v>
      </c>
      <c r="AS9" t="s">
        <v>28</v>
      </c>
      <c r="AW9" t="s">
        <v>28</v>
      </c>
      <c r="BC9" t="s">
        <v>28</v>
      </c>
    </row>
    <row r="10" spans="1:70">
      <c r="A10" s="4" t="s">
        <v>795</v>
      </c>
      <c r="B10" t="s">
        <v>34</v>
      </c>
      <c r="C10">
        <f t="shared" ref="C10:C11" si="2">AM10</f>
        <v>0</v>
      </c>
      <c r="AM10">
        <f t="shared" ref="AM10:AM11" si="3">COUNTIF(D10:AL10,"oui")</f>
        <v>0</v>
      </c>
      <c r="AR10" t="s">
        <v>28</v>
      </c>
    </row>
    <row r="11" spans="1:70">
      <c r="A11" s="4" t="s">
        <v>889</v>
      </c>
      <c r="B11" t="s">
        <v>34</v>
      </c>
      <c r="C11">
        <f t="shared" si="2"/>
        <v>0</v>
      </c>
      <c r="AM11">
        <f t="shared" si="3"/>
        <v>0</v>
      </c>
      <c r="AR11" t="s">
        <v>28</v>
      </c>
      <c r="AZ11" t="s">
        <v>28</v>
      </c>
    </row>
    <row r="12" spans="1:70">
      <c r="A12" s="4" t="s">
        <v>290</v>
      </c>
      <c r="B12" t="s">
        <v>28</v>
      </c>
      <c r="C12">
        <f>AM12</f>
        <v>3</v>
      </c>
      <c r="U12" t="s">
        <v>28</v>
      </c>
      <c r="X12" t="s">
        <v>28</v>
      </c>
      <c r="Y12" t="s">
        <v>28</v>
      </c>
      <c r="AM12">
        <f t="shared" ref="AM12:AM30" si="4">COUNTIF(D12:AL12,"oui")</f>
        <v>3</v>
      </c>
      <c r="AW12" t="s">
        <v>28</v>
      </c>
    </row>
    <row r="13" spans="1:70">
      <c r="A13" s="4" t="s">
        <v>261</v>
      </c>
      <c r="B13" t="s">
        <v>28</v>
      </c>
      <c r="C13">
        <f>AM13</f>
        <v>3</v>
      </c>
      <c r="U13" t="s">
        <v>28</v>
      </c>
      <c r="V13" t="s">
        <v>28</v>
      </c>
      <c r="W13" t="s">
        <v>28</v>
      </c>
      <c r="AM13">
        <f t="shared" si="4"/>
        <v>3</v>
      </c>
      <c r="AQ13" t="s">
        <v>28</v>
      </c>
      <c r="BI13" t="s">
        <v>28</v>
      </c>
      <c r="BK13" t="s">
        <v>28</v>
      </c>
    </row>
    <row r="14" spans="1:70">
      <c r="A14" s="4" t="s">
        <v>276</v>
      </c>
      <c r="B14" t="s">
        <v>28</v>
      </c>
      <c r="C14">
        <f>AM14</f>
        <v>3</v>
      </c>
      <c r="G14" t="s">
        <v>28</v>
      </c>
      <c r="I14" t="s">
        <v>28</v>
      </c>
      <c r="K14" t="s">
        <v>28</v>
      </c>
      <c r="M14" t="s">
        <v>50</v>
      </c>
      <c r="X14" t="s">
        <v>50</v>
      </c>
      <c r="Y14" t="s">
        <v>50</v>
      </c>
      <c r="AM14">
        <f t="shared" si="4"/>
        <v>3</v>
      </c>
      <c r="AZ14" t="s">
        <v>28</v>
      </c>
      <c r="BA14" t="s">
        <v>28</v>
      </c>
    </row>
    <row r="15" spans="1:70">
      <c r="A15" s="4" t="s">
        <v>280</v>
      </c>
      <c r="B15" t="s">
        <v>28</v>
      </c>
      <c r="C15">
        <f>AM15</f>
        <v>5</v>
      </c>
      <c r="L15" t="s">
        <v>28</v>
      </c>
      <c r="AE15" t="s">
        <v>28</v>
      </c>
      <c r="AF15" t="s">
        <v>28</v>
      </c>
      <c r="AH15" t="s">
        <v>28</v>
      </c>
      <c r="AJ15" t="s">
        <v>28</v>
      </c>
      <c r="AM15">
        <f t="shared" si="4"/>
        <v>5</v>
      </c>
      <c r="AO15" t="s">
        <v>28</v>
      </c>
      <c r="AV15" t="s">
        <v>28</v>
      </c>
      <c r="AW15" t="s">
        <v>28</v>
      </c>
      <c r="AY15" t="s">
        <v>28</v>
      </c>
      <c r="BR15" t="s">
        <v>28</v>
      </c>
    </row>
    <row r="16" spans="1:70">
      <c r="A16" s="4" t="s">
        <v>200</v>
      </c>
      <c r="B16" t="s">
        <v>28</v>
      </c>
      <c r="C16">
        <f>AM16</f>
        <v>3</v>
      </c>
      <c r="D16" t="s">
        <v>28</v>
      </c>
      <c r="X16" t="s">
        <v>28</v>
      </c>
      <c r="Y16" t="s">
        <v>28</v>
      </c>
      <c r="AM16">
        <f t="shared" si="4"/>
        <v>3</v>
      </c>
      <c r="AZ16" t="s">
        <v>28</v>
      </c>
    </row>
    <row r="17" spans="1:70">
      <c r="A17" s="4" t="s">
        <v>227</v>
      </c>
      <c r="B17" t="s">
        <v>28</v>
      </c>
      <c r="C17">
        <f>AM17</f>
        <v>4</v>
      </c>
      <c r="E17" t="s">
        <v>28</v>
      </c>
      <c r="Q17" t="s">
        <v>28</v>
      </c>
      <c r="U17" t="s">
        <v>28</v>
      </c>
      <c r="V17" t="s">
        <v>50</v>
      </c>
      <c r="AD17" t="s">
        <v>28</v>
      </c>
      <c r="AM17">
        <f t="shared" si="4"/>
        <v>4</v>
      </c>
      <c r="AT17" t="s">
        <v>28</v>
      </c>
      <c r="AU17" t="s">
        <v>28</v>
      </c>
      <c r="BL17" t="s">
        <v>28</v>
      </c>
    </row>
    <row r="18" spans="1:70">
      <c r="A18" s="4" t="s">
        <v>230</v>
      </c>
      <c r="B18" t="s">
        <v>28</v>
      </c>
      <c r="C18">
        <f>AM18</f>
        <v>3</v>
      </c>
      <c r="E18" t="s">
        <v>28</v>
      </c>
      <c r="G18" t="s">
        <v>50</v>
      </c>
      <c r="H18" t="s">
        <v>50</v>
      </c>
      <c r="N18" t="s">
        <v>28</v>
      </c>
      <c r="V18" t="s">
        <v>28</v>
      </c>
      <c r="AM18" s="13">
        <f t="shared" si="4"/>
        <v>3</v>
      </c>
      <c r="AT18" t="s">
        <v>28</v>
      </c>
      <c r="AU18" t="s">
        <v>28</v>
      </c>
      <c r="BA18" t="s">
        <v>28</v>
      </c>
      <c r="BF18" t="s">
        <v>28</v>
      </c>
      <c r="BL18" t="s">
        <v>28</v>
      </c>
    </row>
    <row r="19" spans="1:70">
      <c r="A19" s="4" t="s">
        <v>238</v>
      </c>
      <c r="B19" t="s">
        <v>28</v>
      </c>
      <c r="C19">
        <f>AM19</f>
        <v>4</v>
      </c>
      <c r="F19" t="s">
        <v>28</v>
      </c>
      <c r="H19" t="s">
        <v>28</v>
      </c>
      <c r="R19" t="s">
        <v>28</v>
      </c>
      <c r="Z19" t="s">
        <v>28</v>
      </c>
      <c r="AM19">
        <f t="shared" si="4"/>
        <v>4</v>
      </c>
      <c r="AR19" t="s">
        <v>28</v>
      </c>
      <c r="AU19" t="s">
        <v>28</v>
      </c>
      <c r="BB19" t="s">
        <v>28</v>
      </c>
      <c r="BC19" t="s">
        <v>28</v>
      </c>
      <c r="BE19" t="s">
        <v>28</v>
      </c>
      <c r="BG19" t="s">
        <v>28</v>
      </c>
      <c r="BH19" t="s">
        <v>28</v>
      </c>
      <c r="BL19" t="s">
        <v>28</v>
      </c>
      <c r="BN19" t="s">
        <v>28</v>
      </c>
      <c r="BO19" t="s">
        <v>28</v>
      </c>
    </row>
    <row r="20" spans="1:70">
      <c r="A20" s="4" t="s">
        <v>242</v>
      </c>
      <c r="B20" t="s">
        <v>28</v>
      </c>
      <c r="C20">
        <f>AM20</f>
        <v>3</v>
      </c>
      <c r="H20" t="s">
        <v>28</v>
      </c>
      <c r="U20" t="s">
        <v>50</v>
      </c>
      <c r="X20" t="s">
        <v>28</v>
      </c>
      <c r="AA20" t="s">
        <v>28</v>
      </c>
      <c r="AM20">
        <f t="shared" si="4"/>
        <v>3</v>
      </c>
      <c r="BE20" t="s">
        <v>28</v>
      </c>
      <c r="BI20" t="s">
        <v>28</v>
      </c>
      <c r="BL20" t="s">
        <v>28</v>
      </c>
    </row>
    <row r="21" spans="1:70">
      <c r="A21" s="4" t="s">
        <v>246</v>
      </c>
      <c r="B21" t="s">
        <v>28</v>
      </c>
      <c r="C21">
        <f>AM21</f>
        <v>3</v>
      </c>
      <c r="D21" t="s">
        <v>28</v>
      </c>
      <c r="V21" t="s">
        <v>28</v>
      </c>
      <c r="W21" t="s">
        <v>28</v>
      </c>
      <c r="AM21">
        <f t="shared" si="4"/>
        <v>3</v>
      </c>
      <c r="AR21" t="s">
        <v>28</v>
      </c>
      <c r="AU21" t="s">
        <v>28</v>
      </c>
      <c r="AV21" t="s">
        <v>28</v>
      </c>
      <c r="AX21" t="s">
        <v>28</v>
      </c>
      <c r="BC21" t="s">
        <v>28</v>
      </c>
      <c r="BE21" t="s">
        <v>28</v>
      </c>
      <c r="BF21" t="s">
        <v>28</v>
      </c>
      <c r="BL21" t="s">
        <v>28</v>
      </c>
      <c r="BN21" t="s">
        <v>28</v>
      </c>
    </row>
    <row r="22" spans="1:70">
      <c r="A22" s="4" t="s">
        <v>222</v>
      </c>
      <c r="B22" t="s">
        <v>28</v>
      </c>
      <c r="C22">
        <f>AM22</f>
        <v>3</v>
      </c>
      <c r="S22" t="s">
        <v>28</v>
      </c>
      <c r="U22" t="s">
        <v>28</v>
      </c>
      <c r="X22" t="s">
        <v>28</v>
      </c>
      <c r="AM22">
        <f t="shared" si="4"/>
        <v>3</v>
      </c>
      <c r="AN22" t="s">
        <v>28</v>
      </c>
      <c r="AO22" t="s">
        <v>28</v>
      </c>
      <c r="AP22" t="s">
        <v>28</v>
      </c>
      <c r="BM22" t="s">
        <v>28</v>
      </c>
      <c r="BP22" t="s">
        <v>28</v>
      </c>
    </row>
    <row r="23" spans="1:70">
      <c r="A23" s="4" t="s">
        <v>146</v>
      </c>
      <c r="B23" t="s">
        <v>28</v>
      </c>
      <c r="C23">
        <f>AM23</f>
        <v>3</v>
      </c>
      <c r="H23" t="s">
        <v>50</v>
      </c>
      <c r="N23" t="s">
        <v>28</v>
      </c>
      <c r="V23" t="s">
        <v>28</v>
      </c>
      <c r="X23" t="s">
        <v>28</v>
      </c>
      <c r="AM23">
        <f t="shared" si="4"/>
        <v>3</v>
      </c>
      <c r="AN23" t="s">
        <v>28</v>
      </c>
      <c r="AQ23" t="s">
        <v>28</v>
      </c>
      <c r="AZ23" t="s">
        <v>28</v>
      </c>
      <c r="BD23" t="s">
        <v>28</v>
      </c>
      <c r="BI23" t="s">
        <v>28</v>
      </c>
      <c r="BJ23" t="s">
        <v>28</v>
      </c>
      <c r="BK23" t="s">
        <v>28</v>
      </c>
      <c r="BR23" t="s">
        <v>28</v>
      </c>
    </row>
    <row r="24" spans="1:70">
      <c r="A24" s="4" t="s">
        <v>267</v>
      </c>
      <c r="B24" t="s">
        <v>28</v>
      </c>
      <c r="C24">
        <f>AM24</f>
        <v>3</v>
      </c>
      <c r="O24" t="s">
        <v>28</v>
      </c>
      <c r="V24" t="s">
        <v>28</v>
      </c>
      <c r="W24" t="s">
        <v>50</v>
      </c>
      <c r="Z24" t="s">
        <v>28</v>
      </c>
      <c r="AM24">
        <f t="shared" si="4"/>
        <v>3</v>
      </c>
      <c r="BD24" t="s">
        <v>28</v>
      </c>
      <c r="BH24" t="s">
        <v>28</v>
      </c>
      <c r="BK24" t="s">
        <v>28</v>
      </c>
    </row>
    <row r="25" spans="1:70">
      <c r="A25" s="4" t="s">
        <v>218</v>
      </c>
      <c r="B25" t="s">
        <v>28</v>
      </c>
      <c r="C25">
        <f>AM25</f>
        <v>3</v>
      </c>
      <c r="U25" t="s">
        <v>28</v>
      </c>
      <c r="V25" t="s">
        <v>28</v>
      </c>
      <c r="W25" t="s">
        <v>28</v>
      </c>
      <c r="AM25">
        <f t="shared" si="4"/>
        <v>3</v>
      </c>
      <c r="AN25" t="s">
        <v>28</v>
      </c>
      <c r="BB25" t="s">
        <v>50</v>
      </c>
    </row>
    <row r="26" spans="1:70">
      <c r="A26" s="4" t="s">
        <v>257</v>
      </c>
      <c r="B26" t="s">
        <v>28</v>
      </c>
      <c r="C26">
        <f>AM26</f>
        <v>3</v>
      </c>
      <c r="AA26" t="s">
        <v>28</v>
      </c>
      <c r="AB26" t="s">
        <v>28</v>
      </c>
      <c r="AG26" t="s">
        <v>28</v>
      </c>
      <c r="AM26">
        <f t="shared" si="4"/>
        <v>3</v>
      </c>
      <c r="BB26" t="s">
        <v>28</v>
      </c>
      <c r="BF26" t="s">
        <v>28</v>
      </c>
    </row>
    <row r="27" spans="1:70">
      <c r="A27" s="4" t="s">
        <v>703</v>
      </c>
      <c r="B27" t="s">
        <v>28</v>
      </c>
      <c r="C27">
        <f>AM27</f>
        <v>3</v>
      </c>
      <c r="G27" t="s">
        <v>50</v>
      </c>
      <c r="M27" t="s">
        <v>28</v>
      </c>
      <c r="N27" t="s">
        <v>50</v>
      </c>
      <c r="O27" t="s">
        <v>28</v>
      </c>
      <c r="P27" t="s">
        <v>28</v>
      </c>
      <c r="AM27">
        <f t="shared" si="4"/>
        <v>3</v>
      </c>
      <c r="BB27" t="s">
        <v>28</v>
      </c>
      <c r="BR27" t="s">
        <v>28</v>
      </c>
    </row>
    <row r="28" spans="1:70">
      <c r="A28" s="16" t="s">
        <v>721</v>
      </c>
      <c r="B28" s="15" t="s">
        <v>28</v>
      </c>
      <c r="C28">
        <f t="shared" ref="C28" si="5">AM28</f>
        <v>1</v>
      </c>
      <c r="AC28" t="s">
        <v>28</v>
      </c>
      <c r="AM28">
        <f t="shared" si="4"/>
        <v>1</v>
      </c>
      <c r="BO28" t="s">
        <v>28</v>
      </c>
      <c r="BQ28" t="s">
        <v>28</v>
      </c>
    </row>
    <row r="29" spans="1:70">
      <c r="A29" s="4" t="s">
        <v>300</v>
      </c>
      <c r="B29" s="15" t="s">
        <v>28</v>
      </c>
      <c r="C29">
        <f>AM29</f>
        <v>3</v>
      </c>
      <c r="M29" t="s">
        <v>28</v>
      </c>
      <c r="R29" t="s">
        <v>50</v>
      </c>
      <c r="AA29" t="s">
        <v>28</v>
      </c>
      <c r="AC29" t="s">
        <v>28</v>
      </c>
      <c r="AM29">
        <f t="shared" si="4"/>
        <v>3</v>
      </c>
      <c r="BB29" t="s">
        <v>28</v>
      </c>
      <c r="BC29" t="s">
        <v>28</v>
      </c>
      <c r="BE29" t="s">
        <v>28</v>
      </c>
      <c r="BN29" t="s">
        <v>28</v>
      </c>
      <c r="BO29" t="s">
        <v>28</v>
      </c>
      <c r="BR29" t="s">
        <v>28</v>
      </c>
    </row>
    <row r="30" spans="1:70">
      <c r="D30">
        <f>COUNTIF(D2:D29,"oui")</f>
        <v>3</v>
      </c>
      <c r="E30">
        <f>COUNTIF(E2:E29,"oui")</f>
        <v>3</v>
      </c>
      <c r="F30">
        <f>COUNTIF(F2:F29,"oui")</f>
        <v>4</v>
      </c>
      <c r="G30">
        <f>COUNTIF(G2:G29,"oui")</f>
        <v>1</v>
      </c>
      <c r="H30">
        <f>COUNTIF(H2:H29,"oui")</f>
        <v>4</v>
      </c>
      <c r="I30">
        <f>COUNTIF(I2:I29,"oui")</f>
        <v>1</v>
      </c>
      <c r="J30">
        <f>COUNTIF(J2:J29,"oui")</f>
        <v>0</v>
      </c>
      <c r="K30">
        <f>COUNTIF(K2:K29,"oui")</f>
        <v>1</v>
      </c>
      <c r="L30">
        <f>COUNTIF(L2:L29,"oui")</f>
        <v>1</v>
      </c>
      <c r="M30">
        <f>COUNTIF(M2:M29,"oui")</f>
        <v>2</v>
      </c>
      <c r="N30">
        <f>COUNTIF(N2:N29,"oui")</f>
        <v>2</v>
      </c>
      <c r="O30">
        <f>COUNTIF(O2:O29,"oui")</f>
        <v>2</v>
      </c>
      <c r="P30">
        <f>COUNTIF(P2:P29,"oui")</f>
        <v>1</v>
      </c>
      <c r="Q30">
        <f>COUNTIF(Q2:Q29,"oui")</f>
        <v>1</v>
      </c>
      <c r="R30">
        <f>COUNTIF(R2:R29,"oui")</f>
        <v>4</v>
      </c>
      <c r="S30">
        <f>COUNTIF(S2:S29,"oui")</f>
        <v>4</v>
      </c>
      <c r="T30">
        <f>COUNTIF(T2:T29,"oui")</f>
        <v>1</v>
      </c>
      <c r="U30">
        <f>COUNTIF(U2:U29,"oui")</f>
        <v>8</v>
      </c>
      <c r="V30">
        <f>COUNTIF(V2:V29,"oui")</f>
        <v>7</v>
      </c>
      <c r="W30">
        <f>COUNTIF(W2:W29,"oui")</f>
        <v>4</v>
      </c>
      <c r="X30">
        <f>COUNTIF(X2:X29,"oui")</f>
        <v>9</v>
      </c>
      <c r="Y30">
        <f>COUNTIF(Y2:Y29,"oui")</f>
        <v>3</v>
      </c>
      <c r="Z30">
        <f>COUNTIF(Z2:Z29,"oui")</f>
        <v>4</v>
      </c>
      <c r="AA30">
        <f>COUNTIF(AA2:AA29,"oui")</f>
        <v>5</v>
      </c>
      <c r="AB30">
        <f>COUNTIF(AB2:AB29,"oui")</f>
        <v>2</v>
      </c>
      <c r="AC30">
        <f>COUNTIF(AC2:AC29,"oui")</f>
        <v>2</v>
      </c>
      <c r="AD30">
        <f>COUNTIF(AD2:AD29,"oui")</f>
        <v>1</v>
      </c>
      <c r="AE30">
        <f>COUNTIF(AE2:AE29,"oui")</f>
        <v>1</v>
      </c>
      <c r="AF30">
        <f>COUNTIF(AF2:AF29,"oui")</f>
        <v>1</v>
      </c>
      <c r="AG30">
        <f>COUNTIF(AG2:AG29,"oui")</f>
        <v>2</v>
      </c>
      <c r="AH30">
        <f>COUNTIF(AH2:AH29,"oui")</f>
        <v>1</v>
      </c>
      <c r="AI30">
        <f>COUNTIF(AI2:AI29,"oui")</f>
        <v>0</v>
      </c>
      <c r="AJ30">
        <f>COUNTIF(AJ2:AJ29,"oui")</f>
        <v>1</v>
      </c>
      <c r="AK30">
        <f>COUNTIF(AK2:AK29,"oui")</f>
        <v>0</v>
      </c>
      <c r="AL30">
        <f>COUNTIF(AL2:AL29,"oui")</f>
        <v>0</v>
      </c>
      <c r="AM30">
        <f t="shared" si="4"/>
        <v>0</v>
      </c>
    </row>
  </sheetData>
  <dataValidations count="1">
    <dataValidation allowBlank="1" showInputMessage="1" showErrorMessage="1" sqref="B16" xr:uid="{C717CF4B-2224-4526-85E7-6DEE514D344B}"/>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0D61620D-0804-4470-BC4B-611695044C4B}">
          <x14:formula1>
            <xm:f>src!$K$2:$K$3</xm:f>
          </x14:formula1>
          <xm:sqref>B1:B15 B17:B30</xm:sqref>
        </x14:dataValidation>
        <x14:dataValidation type="list" allowBlank="1" showInputMessage="1" showErrorMessage="1" xr:uid="{DC046C2B-C98C-42F1-96F1-07DF6E38224C}">
          <x14:formula1>
            <xm:f>src!$L$2:$L$3</xm:f>
          </x14:formula1>
          <xm:sqref>D2:AL29 AN2:BR29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6"/>
  <sheetViews>
    <sheetView topLeftCell="D1" workbookViewId="0">
      <selection activeCell="H2" sqref="H2:H32"/>
    </sheetView>
  </sheetViews>
  <sheetFormatPr defaultColWidth="11.42578125" defaultRowHeight="15"/>
  <cols>
    <col min="1" max="1" width="14.7109375" bestFit="1" customWidth="1"/>
    <col min="2" max="2" width="19.28515625" bestFit="1" customWidth="1"/>
    <col min="3" max="3" width="15.28515625" style="6" bestFit="1" customWidth="1"/>
    <col min="4" max="4" width="18" bestFit="1" customWidth="1"/>
    <col min="5" max="5" width="18.5703125" bestFit="1" customWidth="1"/>
    <col min="6" max="6" width="12" bestFit="1" customWidth="1"/>
    <col min="7" max="7" width="35.42578125" bestFit="1" customWidth="1"/>
    <col min="8" max="10" width="35.42578125" customWidth="1"/>
  </cols>
  <sheetData>
    <row r="1" spans="1:12" s="2" customFormat="1">
      <c r="A1" s="2" t="s">
        <v>890</v>
      </c>
      <c r="B1" s="2" t="s">
        <v>3</v>
      </c>
      <c r="C1" s="8" t="s">
        <v>4</v>
      </c>
      <c r="D1" s="2" t="s">
        <v>5</v>
      </c>
      <c r="E1" s="2" t="s">
        <v>6</v>
      </c>
      <c r="F1" s="2" t="s">
        <v>13</v>
      </c>
      <c r="G1" s="2" t="s">
        <v>767</v>
      </c>
      <c r="H1" s="2" t="s">
        <v>891</v>
      </c>
      <c r="I1" s="2" t="s">
        <v>892</v>
      </c>
      <c r="J1" s="2" t="s">
        <v>893</v>
      </c>
      <c r="K1" s="2" t="s">
        <v>894</v>
      </c>
      <c r="L1" s="2" t="s">
        <v>895</v>
      </c>
    </row>
    <row r="2" spans="1:12">
      <c r="A2" t="s">
        <v>23</v>
      </c>
      <c r="B2" t="s">
        <v>90</v>
      </c>
      <c r="C2" s="6" t="s">
        <v>262</v>
      </c>
      <c r="D2" t="s">
        <v>26</v>
      </c>
      <c r="E2" t="s">
        <v>147</v>
      </c>
      <c r="F2" t="s">
        <v>39</v>
      </c>
      <c r="G2" t="s">
        <v>772</v>
      </c>
      <c r="H2" t="s">
        <v>856</v>
      </c>
      <c r="I2" t="s">
        <v>24</v>
      </c>
      <c r="J2" t="s">
        <v>62</v>
      </c>
      <c r="K2" t="s">
        <v>28</v>
      </c>
      <c r="L2" s="1" t="s">
        <v>50</v>
      </c>
    </row>
    <row r="3" spans="1:12">
      <c r="A3" t="s">
        <v>37</v>
      </c>
      <c r="B3" t="s">
        <v>555</v>
      </c>
      <c r="C3" s="6" t="s">
        <v>136</v>
      </c>
      <c r="D3" t="s">
        <v>114</v>
      </c>
      <c r="E3" t="s">
        <v>27</v>
      </c>
      <c r="F3" t="s">
        <v>41</v>
      </c>
      <c r="G3" t="s">
        <v>778</v>
      </c>
      <c r="H3" t="s">
        <v>857</v>
      </c>
      <c r="I3" t="s">
        <v>201</v>
      </c>
      <c r="J3" t="s">
        <v>379</v>
      </c>
      <c r="K3" t="s">
        <v>34</v>
      </c>
      <c r="L3" t="s">
        <v>28</v>
      </c>
    </row>
    <row r="4" spans="1:12">
      <c r="B4" t="s">
        <v>24</v>
      </c>
      <c r="C4" s="6" t="s">
        <v>60</v>
      </c>
      <c r="D4" t="s">
        <v>277</v>
      </c>
      <c r="E4" t="s">
        <v>161</v>
      </c>
      <c r="F4" t="s">
        <v>94</v>
      </c>
      <c r="G4" t="s">
        <v>777</v>
      </c>
      <c r="H4" t="s">
        <v>858</v>
      </c>
      <c r="I4" t="s">
        <v>38</v>
      </c>
      <c r="J4" t="s">
        <v>896</v>
      </c>
    </row>
    <row r="5" spans="1:12">
      <c r="B5" t="s">
        <v>67</v>
      </c>
      <c r="C5" s="6" t="s">
        <v>272</v>
      </c>
      <c r="D5" t="s">
        <v>67</v>
      </c>
      <c r="E5" t="s">
        <v>557</v>
      </c>
      <c r="F5" t="s">
        <v>30</v>
      </c>
      <c r="G5" t="s">
        <v>779</v>
      </c>
      <c r="H5" t="s">
        <v>859</v>
      </c>
      <c r="I5" t="s">
        <v>31</v>
      </c>
      <c r="J5" t="s">
        <v>119</v>
      </c>
    </row>
    <row r="6" spans="1:12">
      <c r="B6" t="s">
        <v>201</v>
      </c>
      <c r="C6" s="6" t="s">
        <v>274</v>
      </c>
      <c r="D6" t="s">
        <v>109</v>
      </c>
      <c r="E6" t="s">
        <v>640</v>
      </c>
      <c r="G6" t="s">
        <v>782</v>
      </c>
      <c r="H6" t="s">
        <v>860</v>
      </c>
      <c r="J6" t="s">
        <v>67</v>
      </c>
    </row>
    <row r="7" spans="1:12">
      <c r="B7" t="s">
        <v>38</v>
      </c>
      <c r="C7" s="6" t="s">
        <v>25</v>
      </c>
      <c r="D7" t="s">
        <v>38</v>
      </c>
      <c r="E7" t="s">
        <v>751</v>
      </c>
      <c r="G7" t="s">
        <v>770</v>
      </c>
      <c r="H7" t="s">
        <v>861</v>
      </c>
      <c r="J7" t="s">
        <v>897</v>
      </c>
    </row>
    <row r="8" spans="1:12">
      <c r="B8" t="s">
        <v>55</v>
      </c>
      <c r="D8" t="s">
        <v>92</v>
      </c>
      <c r="E8" t="s">
        <v>667</v>
      </c>
      <c r="H8" t="s">
        <v>862</v>
      </c>
      <c r="J8" t="s">
        <v>898</v>
      </c>
    </row>
    <row r="9" spans="1:12">
      <c r="D9" t="s">
        <v>305</v>
      </c>
      <c r="E9" t="s">
        <v>899</v>
      </c>
      <c r="H9" t="s">
        <v>863</v>
      </c>
      <c r="J9" t="s">
        <v>900</v>
      </c>
    </row>
    <row r="10" spans="1:12">
      <c r="D10" t="s">
        <v>137</v>
      </c>
      <c r="E10" t="s">
        <v>901</v>
      </c>
      <c r="H10" t="s">
        <v>864</v>
      </c>
      <c r="J10" t="s">
        <v>902</v>
      </c>
    </row>
    <row r="11" spans="1:12">
      <c r="D11" t="s">
        <v>71</v>
      </c>
      <c r="E11" t="s">
        <v>903</v>
      </c>
      <c r="H11" t="s">
        <v>865</v>
      </c>
      <c r="J11" t="s">
        <v>904</v>
      </c>
    </row>
    <row r="12" spans="1:12">
      <c r="D12" t="s">
        <v>160</v>
      </c>
      <c r="H12" t="s">
        <v>866</v>
      </c>
      <c r="J12" t="s">
        <v>905</v>
      </c>
    </row>
    <row r="13" spans="1:12">
      <c r="H13" t="s">
        <v>375</v>
      </c>
      <c r="J13" t="s">
        <v>906</v>
      </c>
    </row>
    <row r="14" spans="1:12">
      <c r="H14" t="s">
        <v>867</v>
      </c>
      <c r="J14" t="s">
        <v>907</v>
      </c>
    </row>
    <row r="15" spans="1:12">
      <c r="H15" t="s">
        <v>868</v>
      </c>
      <c r="J15" t="s">
        <v>908</v>
      </c>
    </row>
    <row r="16" spans="1:12">
      <c r="H16" t="s">
        <v>869</v>
      </c>
      <c r="J16" t="s">
        <v>909</v>
      </c>
    </row>
    <row r="17" spans="8:10">
      <c r="H17" t="s">
        <v>870</v>
      </c>
      <c r="J17" t="s">
        <v>910</v>
      </c>
    </row>
    <row r="18" spans="8:10">
      <c r="H18" t="s">
        <v>871</v>
      </c>
      <c r="J18" t="s">
        <v>911</v>
      </c>
    </row>
    <row r="19" spans="8:10">
      <c r="H19" t="s">
        <v>872</v>
      </c>
      <c r="J19" t="s">
        <v>912</v>
      </c>
    </row>
    <row r="20" spans="8:10">
      <c r="H20" t="s">
        <v>873</v>
      </c>
      <c r="J20" t="s">
        <v>913</v>
      </c>
    </row>
    <row r="21" spans="8:10">
      <c r="H21" t="s">
        <v>874</v>
      </c>
      <c r="J21" t="s">
        <v>914</v>
      </c>
    </row>
    <row r="22" spans="8:10">
      <c r="H22" t="s">
        <v>875</v>
      </c>
      <c r="J22" t="s">
        <v>915</v>
      </c>
    </row>
    <row r="23" spans="8:10">
      <c r="H23" t="s">
        <v>876</v>
      </c>
      <c r="J23" t="s">
        <v>916</v>
      </c>
    </row>
    <row r="24" spans="8:10">
      <c r="H24" t="s">
        <v>877</v>
      </c>
      <c r="J24" t="s">
        <v>917</v>
      </c>
    </row>
    <row r="25" spans="8:10">
      <c r="H25" t="s">
        <v>878</v>
      </c>
      <c r="J25" t="s">
        <v>918</v>
      </c>
    </row>
    <row r="26" spans="8:10">
      <c r="H26" t="s">
        <v>879</v>
      </c>
      <c r="J26" t="s">
        <v>919</v>
      </c>
    </row>
    <row r="27" spans="8:10">
      <c r="H27" t="s">
        <v>880</v>
      </c>
      <c r="J27" t="s">
        <v>920</v>
      </c>
    </row>
    <row r="28" spans="8:10">
      <c r="H28" t="s">
        <v>881</v>
      </c>
      <c r="J28" t="s">
        <v>921</v>
      </c>
    </row>
    <row r="29" spans="8:10">
      <c r="H29" t="s">
        <v>882</v>
      </c>
      <c r="J29" t="s">
        <v>922</v>
      </c>
    </row>
    <row r="30" spans="8:10">
      <c r="H30" t="s">
        <v>883</v>
      </c>
      <c r="J30" t="s">
        <v>923</v>
      </c>
    </row>
    <row r="31" spans="8:10">
      <c r="H31" t="s">
        <v>884</v>
      </c>
      <c r="J31" t="s">
        <v>924</v>
      </c>
    </row>
    <row r="32" spans="8:10">
      <c r="H32" t="s">
        <v>885</v>
      </c>
      <c r="J32" t="s">
        <v>633</v>
      </c>
    </row>
    <row r="33" spans="10:10">
      <c r="J33" t="s">
        <v>925</v>
      </c>
    </row>
    <row r="34" spans="10:10">
      <c r="J34" t="s">
        <v>926</v>
      </c>
    </row>
    <row r="35" spans="10:10">
      <c r="J35" t="s">
        <v>927</v>
      </c>
    </row>
    <row r="36" spans="10:10">
      <c r="J36" t="s">
        <v>928</v>
      </c>
    </row>
    <row r="37" spans="10:10">
      <c r="J37" t="s">
        <v>929</v>
      </c>
    </row>
    <row r="38" spans="10:10">
      <c r="J38" t="s">
        <v>930</v>
      </c>
    </row>
    <row r="39" spans="10:10">
      <c r="J39" t="s">
        <v>931</v>
      </c>
    </row>
    <row r="40" spans="10:10">
      <c r="J40" t="s">
        <v>932</v>
      </c>
    </row>
    <row r="41" spans="10:10">
      <c r="J41" t="s">
        <v>933</v>
      </c>
    </row>
    <row r="42" spans="10:10">
      <c r="J42" t="s">
        <v>684</v>
      </c>
    </row>
    <row r="43" spans="10:10">
      <c r="J43" t="s">
        <v>562</v>
      </c>
    </row>
    <row r="44" spans="10:10">
      <c r="J44" t="s">
        <v>934</v>
      </c>
    </row>
    <row r="45" spans="10:10">
      <c r="J45" t="s">
        <v>935</v>
      </c>
    </row>
    <row r="46" spans="10:10">
      <c r="J46" t="s">
        <v>936</v>
      </c>
    </row>
    <row r="47" spans="10:10">
      <c r="J47" t="s">
        <v>739</v>
      </c>
    </row>
    <row r="48" spans="10:10">
      <c r="J48" t="s">
        <v>375</v>
      </c>
    </row>
    <row r="49" spans="10:10">
      <c r="J49" t="s">
        <v>287</v>
      </c>
    </row>
    <row r="50" spans="10:10">
      <c r="J50" t="s">
        <v>937</v>
      </c>
    </row>
    <row r="51" spans="10:10">
      <c r="J51" t="s">
        <v>938</v>
      </c>
    </row>
    <row r="52" spans="10:10">
      <c r="J52" t="s">
        <v>46</v>
      </c>
    </row>
    <row r="53" spans="10:10">
      <c r="J53" t="s">
        <v>42</v>
      </c>
    </row>
    <row r="54" spans="10:10">
      <c r="J54" t="s">
        <v>26</v>
      </c>
    </row>
    <row r="55" spans="10:10">
      <c r="J55" t="s">
        <v>557</v>
      </c>
    </row>
    <row r="56" spans="10:10">
      <c r="J56" t="s">
        <v>640</v>
      </c>
    </row>
    <row r="57" spans="10:10">
      <c r="J57" t="s">
        <v>751</v>
      </c>
    </row>
    <row r="58" spans="10:10">
      <c r="J58" t="s">
        <v>667</v>
      </c>
    </row>
    <row r="59" spans="10:10">
      <c r="J59" t="s">
        <v>899</v>
      </c>
    </row>
    <row r="60" spans="10:10">
      <c r="J60" t="s">
        <v>901</v>
      </c>
    </row>
    <row r="61" spans="10:10">
      <c r="J61" t="s">
        <v>903</v>
      </c>
    </row>
    <row r="62" spans="10:10">
      <c r="J62" t="s">
        <v>95</v>
      </c>
    </row>
    <row r="63" spans="10:10">
      <c r="J63" t="s">
        <v>307</v>
      </c>
    </row>
    <row r="64" spans="10:10">
      <c r="J64" t="s">
        <v>138</v>
      </c>
    </row>
    <row r="65" spans="10:10">
      <c r="J65" t="s">
        <v>74</v>
      </c>
    </row>
    <row r="66" spans="10:10">
      <c r="J66" t="s">
        <v>163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D52F7-6F4C-4DC4-905C-FAC6C1B263BA}">
  <dimension ref="A1:BR22"/>
  <sheetViews>
    <sheetView workbookViewId="0">
      <pane xSplit="1" topLeftCell="B1" activePane="topRight" state="frozen"/>
      <selection pane="topRight" activeCell="BO23" sqref="BO23"/>
    </sheetView>
  </sheetViews>
  <sheetFormatPr defaultRowHeight="15"/>
  <cols>
    <col min="1" max="1" width="60.85546875" bestFit="1" customWidth="1"/>
    <col min="2" max="2" width="10.42578125" bestFit="1" customWidth="1"/>
    <col min="40" max="40" width="24.7109375" bestFit="1" customWidth="1"/>
    <col min="41" max="41" width="18.140625" bestFit="1" customWidth="1"/>
    <col min="42" max="42" width="22.85546875" bestFit="1" customWidth="1"/>
    <col min="43" max="43" width="37.5703125" bestFit="1" customWidth="1"/>
    <col min="44" max="44" width="22.85546875" bestFit="1" customWidth="1"/>
    <col min="45" max="45" width="26.42578125" bestFit="1" customWidth="1"/>
    <col min="46" max="46" width="23.28515625" bestFit="1" customWidth="1"/>
    <col min="47" max="47" width="32.42578125" bestFit="1" customWidth="1"/>
    <col min="48" max="48" width="16" bestFit="1" customWidth="1"/>
    <col min="49" max="49" width="14.42578125" bestFit="1" customWidth="1"/>
    <col min="50" max="50" width="22.42578125" bestFit="1" customWidth="1"/>
    <col min="51" max="51" width="14.140625" bestFit="1" customWidth="1"/>
    <col min="52" max="52" width="27.42578125" bestFit="1" customWidth="1"/>
    <col min="53" max="53" width="23.140625" bestFit="1" customWidth="1"/>
    <col min="54" max="54" width="26.28515625" bestFit="1" customWidth="1"/>
    <col min="55" max="55" width="31.85546875" bestFit="1" customWidth="1"/>
    <col min="56" max="56" width="24.85546875" bestFit="1" customWidth="1"/>
    <col min="57" max="57" width="34.85546875" bestFit="1" customWidth="1"/>
    <col min="58" max="58" width="22.5703125" bestFit="1" customWidth="1"/>
    <col min="59" max="59" width="26" bestFit="1" customWidth="1"/>
    <col min="60" max="60" width="34.5703125" bestFit="1" customWidth="1"/>
    <col min="61" max="61" width="13.7109375" bestFit="1" customWidth="1"/>
    <col min="62" max="62" width="18.5703125" bestFit="1" customWidth="1"/>
    <col min="63" max="63" width="22.5703125" bestFit="1" customWidth="1"/>
    <col min="64" max="64" width="45.28515625" bestFit="1" customWidth="1"/>
    <col min="65" max="65" width="25.7109375" bestFit="1" customWidth="1"/>
    <col min="66" max="66" width="11.42578125" bestFit="1" customWidth="1"/>
    <col min="67" max="67" width="20.42578125" bestFit="1" customWidth="1"/>
    <col min="68" max="68" width="19.7109375" bestFit="1" customWidth="1"/>
    <col min="69" max="69" width="15.28515625" bestFit="1" customWidth="1"/>
    <col min="70" max="70" width="28.7109375" bestFit="1" customWidth="1"/>
  </cols>
  <sheetData>
    <row r="1" spans="1:70">
      <c r="A1" s="2" t="s">
        <v>817</v>
      </c>
      <c r="B1" s="2" t="s">
        <v>818</v>
      </c>
      <c r="C1" s="2" t="s">
        <v>819</v>
      </c>
      <c r="D1" s="2" t="s">
        <v>820</v>
      </c>
      <c r="E1" s="2" t="s">
        <v>821</v>
      </c>
      <c r="F1" s="2" t="s">
        <v>822</v>
      </c>
      <c r="G1" s="2" t="s">
        <v>823</v>
      </c>
      <c r="H1" s="2" t="s">
        <v>824</v>
      </c>
      <c r="I1" s="2" t="s">
        <v>825</v>
      </c>
      <c r="J1" s="2" t="s">
        <v>826</v>
      </c>
      <c r="K1" s="2" t="s">
        <v>827</v>
      </c>
      <c r="L1" s="2" t="s">
        <v>828</v>
      </c>
      <c r="M1" s="2" t="s">
        <v>829</v>
      </c>
      <c r="N1" s="2" t="s">
        <v>830</v>
      </c>
      <c r="O1" s="2" t="s">
        <v>831</v>
      </c>
      <c r="P1" s="2" t="s">
        <v>832</v>
      </c>
      <c r="Q1" s="2" t="s">
        <v>833</v>
      </c>
      <c r="R1" s="2" t="s">
        <v>834</v>
      </c>
      <c r="S1" s="2" t="s">
        <v>835</v>
      </c>
      <c r="T1" s="2" t="s">
        <v>836</v>
      </c>
      <c r="U1" s="2" t="s">
        <v>837</v>
      </c>
      <c r="V1" s="2" t="s">
        <v>838</v>
      </c>
      <c r="W1" s="2" t="s">
        <v>839</v>
      </c>
      <c r="X1" s="2" t="s">
        <v>840</v>
      </c>
      <c r="Y1" s="2" t="s">
        <v>841</v>
      </c>
      <c r="Z1" s="2" t="s">
        <v>842</v>
      </c>
      <c r="AA1" s="2" t="s">
        <v>843</v>
      </c>
      <c r="AB1" s="2" t="s">
        <v>844</v>
      </c>
      <c r="AC1" s="2" t="s">
        <v>845</v>
      </c>
      <c r="AD1" s="2" t="s">
        <v>846</v>
      </c>
      <c r="AE1" s="2" t="s">
        <v>847</v>
      </c>
      <c r="AF1" s="2" t="s">
        <v>848</v>
      </c>
      <c r="AG1" s="2" t="s">
        <v>849</v>
      </c>
      <c r="AH1" s="2" t="s">
        <v>850</v>
      </c>
      <c r="AI1" s="2" t="s">
        <v>851</v>
      </c>
      <c r="AJ1" s="2" t="s">
        <v>852</v>
      </c>
      <c r="AK1" s="2" t="s">
        <v>853</v>
      </c>
      <c r="AL1" s="2" t="s">
        <v>854</v>
      </c>
      <c r="AM1" s="2" t="s">
        <v>887</v>
      </c>
      <c r="AN1" s="2" t="s">
        <v>856</v>
      </c>
      <c r="AO1" s="2" t="s">
        <v>857</v>
      </c>
      <c r="AP1" s="2" t="s">
        <v>858</v>
      </c>
      <c r="AQ1" s="2" t="s">
        <v>859</v>
      </c>
      <c r="AR1" s="2" t="s">
        <v>860</v>
      </c>
      <c r="AS1" s="2" t="s">
        <v>861</v>
      </c>
      <c r="AT1" s="2" t="s">
        <v>862</v>
      </c>
      <c r="AU1" s="2" t="s">
        <v>863</v>
      </c>
      <c r="AV1" s="2" t="s">
        <v>864</v>
      </c>
      <c r="AW1" s="2" t="s">
        <v>865</v>
      </c>
      <c r="AX1" s="2" t="s">
        <v>866</v>
      </c>
      <c r="AY1" s="2" t="s">
        <v>375</v>
      </c>
      <c r="AZ1" s="2" t="s">
        <v>867</v>
      </c>
      <c r="BA1" s="2" t="s">
        <v>868</v>
      </c>
      <c r="BB1" s="2" t="s">
        <v>869</v>
      </c>
      <c r="BC1" s="2" t="s">
        <v>870</v>
      </c>
      <c r="BD1" s="2" t="s">
        <v>871</v>
      </c>
      <c r="BE1" s="2" t="s">
        <v>872</v>
      </c>
      <c r="BF1" s="2" t="s">
        <v>873</v>
      </c>
      <c r="BG1" s="2" t="s">
        <v>874</v>
      </c>
      <c r="BH1" s="2" t="s">
        <v>875</v>
      </c>
      <c r="BI1" s="2" t="s">
        <v>876</v>
      </c>
      <c r="BJ1" s="2" t="s">
        <v>877</v>
      </c>
      <c r="BK1" s="2" t="s">
        <v>878</v>
      </c>
      <c r="BL1" s="2" t="s">
        <v>879</v>
      </c>
      <c r="BM1" s="2" t="s">
        <v>880</v>
      </c>
      <c r="BN1" s="2" t="s">
        <v>881</v>
      </c>
      <c r="BO1" s="2" t="s">
        <v>882</v>
      </c>
      <c r="BP1" s="2" t="s">
        <v>883</v>
      </c>
      <c r="BQ1" s="2" t="s">
        <v>884</v>
      </c>
      <c r="BR1" s="2" t="s">
        <v>885</v>
      </c>
    </row>
    <row r="2" spans="1:70">
      <c r="A2" t="s">
        <v>556</v>
      </c>
      <c r="B2" t="s">
        <v>28</v>
      </c>
      <c r="C2">
        <f>AM2</f>
        <v>3</v>
      </c>
      <c r="M2" t="s">
        <v>28</v>
      </c>
      <c r="N2" t="s">
        <v>28</v>
      </c>
      <c r="O2" t="s">
        <v>28</v>
      </c>
      <c r="AM2">
        <f>COUNTIF(D2:AL2,"oui")</f>
        <v>3</v>
      </c>
      <c r="AO2" t="s">
        <v>28</v>
      </c>
      <c r="AT2" t="s">
        <v>28</v>
      </c>
      <c r="AU2" t="s">
        <v>28</v>
      </c>
      <c r="AZ2" t="s">
        <v>28</v>
      </c>
      <c r="BB2" t="s">
        <v>28</v>
      </c>
      <c r="BC2" t="s">
        <v>28</v>
      </c>
      <c r="BN2" t="s">
        <v>28</v>
      </c>
      <c r="BO2" t="s">
        <v>28</v>
      </c>
    </row>
    <row r="3" spans="1:70">
      <c r="A3" t="s">
        <v>565</v>
      </c>
      <c r="B3" t="s">
        <v>28</v>
      </c>
      <c r="C3">
        <f>AM3</f>
        <v>3</v>
      </c>
      <c r="H3" t="s">
        <v>28</v>
      </c>
      <c r="T3" t="s">
        <v>28</v>
      </c>
      <c r="AD3" t="s">
        <v>28</v>
      </c>
      <c r="AM3">
        <f t="shared" ref="AM3:AM22" si="0">COUNTIF(D3:AL3,"oui")</f>
        <v>3</v>
      </c>
      <c r="AR3" t="s">
        <v>28</v>
      </c>
      <c r="AW3" t="s">
        <v>28</v>
      </c>
      <c r="AY3" t="s">
        <v>28</v>
      </c>
      <c r="BH3" t="s">
        <v>28</v>
      </c>
    </row>
    <row r="4" spans="1:70">
      <c r="A4" t="s">
        <v>568</v>
      </c>
      <c r="B4" t="s">
        <v>28</v>
      </c>
      <c r="C4">
        <f>AM4</f>
        <v>3</v>
      </c>
      <c r="J4" t="s">
        <v>28</v>
      </c>
      <c r="K4" t="s">
        <v>28</v>
      </c>
      <c r="T4" t="s">
        <v>28</v>
      </c>
      <c r="AM4">
        <f t="shared" si="0"/>
        <v>3</v>
      </c>
      <c r="AW4" t="s">
        <v>28</v>
      </c>
      <c r="BA4" t="s">
        <v>28</v>
      </c>
      <c r="BB4" t="s">
        <v>28</v>
      </c>
      <c r="BE4" t="s">
        <v>28</v>
      </c>
      <c r="BH4" t="s">
        <v>28</v>
      </c>
    </row>
    <row r="5" spans="1:70">
      <c r="A5" t="s">
        <v>572</v>
      </c>
      <c r="B5" t="s">
        <v>28</v>
      </c>
      <c r="C5">
        <f>AM5</f>
        <v>3</v>
      </c>
      <c r="D5" t="s">
        <v>28</v>
      </c>
      <c r="F5" t="s">
        <v>28</v>
      </c>
      <c r="AD5" t="s">
        <v>28</v>
      </c>
      <c r="AM5">
        <f t="shared" si="0"/>
        <v>3</v>
      </c>
      <c r="AW5" t="s">
        <v>50</v>
      </c>
      <c r="AY5" t="s">
        <v>28</v>
      </c>
      <c r="BH5" t="s">
        <v>28</v>
      </c>
    </row>
    <row r="6" spans="1:70">
      <c r="A6" t="s">
        <v>576</v>
      </c>
      <c r="B6" t="s">
        <v>28</v>
      </c>
      <c r="C6">
        <f>AM6</f>
        <v>3</v>
      </c>
      <c r="R6" t="s">
        <v>28</v>
      </c>
      <c r="X6" t="s">
        <v>28</v>
      </c>
      <c r="Y6" t="s">
        <v>28</v>
      </c>
      <c r="AM6">
        <f t="shared" si="0"/>
        <v>3</v>
      </c>
      <c r="AW6" t="s">
        <v>28</v>
      </c>
      <c r="BD6" t="s">
        <v>28</v>
      </c>
      <c r="BF6" t="s">
        <v>28</v>
      </c>
    </row>
    <row r="7" spans="1:70">
      <c r="A7" t="s">
        <v>580</v>
      </c>
      <c r="B7" t="s">
        <v>28</v>
      </c>
      <c r="C7">
        <f>AM7</f>
        <v>3</v>
      </c>
      <c r="E7" t="s">
        <v>28</v>
      </c>
      <c r="L7" t="s">
        <v>28</v>
      </c>
      <c r="O7" t="s">
        <v>28</v>
      </c>
      <c r="AM7">
        <f t="shared" si="0"/>
        <v>3</v>
      </c>
      <c r="AR7" t="s">
        <v>28</v>
      </c>
      <c r="BD7" t="s">
        <v>28</v>
      </c>
      <c r="BI7" t="s">
        <v>28</v>
      </c>
      <c r="BN7" t="s">
        <v>28</v>
      </c>
    </row>
    <row r="8" spans="1:70">
      <c r="A8" t="s">
        <v>584</v>
      </c>
      <c r="B8" t="s">
        <v>28</v>
      </c>
      <c r="C8">
        <f>AM8</f>
        <v>3</v>
      </c>
      <c r="F8" t="s">
        <v>28</v>
      </c>
      <c r="H8" t="s">
        <v>28</v>
      </c>
      <c r="R8" t="s">
        <v>28</v>
      </c>
      <c r="AM8">
        <f t="shared" si="0"/>
        <v>3</v>
      </c>
      <c r="AU8" t="s">
        <v>28</v>
      </c>
      <c r="BA8" t="s">
        <v>28</v>
      </c>
      <c r="BD8" t="s">
        <v>28</v>
      </c>
    </row>
    <row r="9" spans="1:70">
      <c r="A9" t="s">
        <v>588</v>
      </c>
      <c r="B9" t="s">
        <v>28</v>
      </c>
      <c r="C9">
        <f>AM9</f>
        <v>3</v>
      </c>
      <c r="H9" t="s">
        <v>28</v>
      </c>
      <c r="AA9" t="s">
        <v>28</v>
      </c>
      <c r="AB9" t="s">
        <v>28</v>
      </c>
      <c r="AM9" s="13">
        <f t="shared" si="0"/>
        <v>3</v>
      </c>
      <c r="BF9" t="s">
        <v>28</v>
      </c>
      <c r="BO9" t="s">
        <v>28</v>
      </c>
    </row>
    <row r="10" spans="1:70">
      <c r="A10" t="s">
        <v>592</v>
      </c>
      <c r="B10" t="s">
        <v>28</v>
      </c>
      <c r="C10">
        <f>AM10</f>
        <v>3</v>
      </c>
      <c r="O10" t="s">
        <v>28</v>
      </c>
      <c r="U10" t="s">
        <v>28</v>
      </c>
      <c r="X10" t="s">
        <v>28</v>
      </c>
      <c r="AM10">
        <f t="shared" si="0"/>
        <v>3</v>
      </c>
      <c r="AO10" t="s">
        <v>28</v>
      </c>
      <c r="AR10" t="s">
        <v>28</v>
      </c>
      <c r="AT10" t="s">
        <v>28</v>
      </c>
      <c r="AW10" t="s">
        <v>28</v>
      </c>
      <c r="BB10" t="s">
        <v>28</v>
      </c>
      <c r="BC10" t="s">
        <v>28</v>
      </c>
      <c r="BK10" t="s">
        <v>28</v>
      </c>
      <c r="BM10" t="s">
        <v>28</v>
      </c>
      <c r="BN10" t="s">
        <v>28</v>
      </c>
    </row>
    <row r="11" spans="1:70">
      <c r="A11" t="s">
        <v>596</v>
      </c>
      <c r="B11" t="s">
        <v>28</v>
      </c>
      <c r="C11">
        <f>AM11</f>
        <v>3</v>
      </c>
      <c r="E11" t="s">
        <v>28</v>
      </c>
      <c r="J11" t="s">
        <v>28</v>
      </c>
      <c r="O11" t="s">
        <v>28</v>
      </c>
      <c r="AM11">
        <f t="shared" si="0"/>
        <v>3</v>
      </c>
    </row>
    <row r="12" spans="1:70">
      <c r="A12" t="s">
        <v>600</v>
      </c>
      <c r="B12" t="s">
        <v>34</v>
      </c>
      <c r="C12">
        <f>AM12</f>
        <v>3</v>
      </c>
      <c r="I12" t="s">
        <v>28</v>
      </c>
      <c r="J12" t="s">
        <v>28</v>
      </c>
      <c r="K12" t="s">
        <v>28</v>
      </c>
      <c r="AM12">
        <f t="shared" si="0"/>
        <v>3</v>
      </c>
      <c r="BA12" t="s">
        <v>28</v>
      </c>
    </row>
    <row r="13" spans="1:70">
      <c r="A13" t="s">
        <v>605</v>
      </c>
      <c r="B13" t="s">
        <v>28</v>
      </c>
      <c r="C13">
        <f>AM13</f>
        <v>3</v>
      </c>
      <c r="D13" t="s">
        <v>28</v>
      </c>
      <c r="G13" t="s">
        <v>50</v>
      </c>
      <c r="J13" t="s">
        <v>28</v>
      </c>
      <c r="Y13" t="s">
        <v>28</v>
      </c>
      <c r="AM13">
        <f t="shared" si="0"/>
        <v>3</v>
      </c>
      <c r="AN13" t="s">
        <v>28</v>
      </c>
      <c r="AO13" t="s">
        <v>28</v>
      </c>
      <c r="AQ13" t="s">
        <v>28</v>
      </c>
      <c r="AT13" t="s">
        <v>28</v>
      </c>
      <c r="AZ13" t="s">
        <v>28</v>
      </c>
      <c r="BA13" t="s">
        <v>28</v>
      </c>
      <c r="BB13" t="s">
        <v>28</v>
      </c>
      <c r="BC13" t="s">
        <v>28</v>
      </c>
      <c r="BI13" t="s">
        <v>28</v>
      </c>
      <c r="BJ13" t="s">
        <v>28</v>
      </c>
      <c r="BK13" t="s">
        <v>28</v>
      </c>
      <c r="BL13" t="s">
        <v>28</v>
      </c>
      <c r="BM13" t="s">
        <v>28</v>
      </c>
    </row>
    <row r="14" spans="1:70">
      <c r="A14" t="s">
        <v>620</v>
      </c>
      <c r="B14" t="s">
        <v>28</v>
      </c>
      <c r="C14">
        <f>AM14</f>
        <v>3</v>
      </c>
      <c r="G14" t="s">
        <v>28</v>
      </c>
      <c r="O14" t="s">
        <v>28</v>
      </c>
      <c r="Y14" t="s">
        <v>28</v>
      </c>
      <c r="AM14">
        <f t="shared" si="0"/>
        <v>3</v>
      </c>
      <c r="AZ14" t="s">
        <v>28</v>
      </c>
      <c r="BN14" t="s">
        <v>28</v>
      </c>
    </row>
    <row r="15" spans="1:70">
      <c r="A15" t="s">
        <v>642</v>
      </c>
      <c r="B15" t="s">
        <v>28</v>
      </c>
      <c r="C15">
        <f>AM15</f>
        <v>3</v>
      </c>
      <c r="F15" t="s">
        <v>28</v>
      </c>
      <c r="T15" t="s">
        <v>28</v>
      </c>
      <c r="U15" t="s">
        <v>28</v>
      </c>
      <c r="AM15">
        <f t="shared" si="0"/>
        <v>3</v>
      </c>
      <c r="AQ15" t="s">
        <v>28</v>
      </c>
      <c r="AR15" t="s">
        <v>50</v>
      </c>
      <c r="AW15" t="s">
        <v>28</v>
      </c>
      <c r="AX15" t="s">
        <v>28</v>
      </c>
      <c r="BD15" t="s">
        <v>28</v>
      </c>
      <c r="BE15" t="s">
        <v>28</v>
      </c>
      <c r="BH15" t="s">
        <v>28</v>
      </c>
      <c r="BI15" t="s">
        <v>28</v>
      </c>
      <c r="BJ15" t="s">
        <v>28</v>
      </c>
      <c r="BK15" t="s">
        <v>28</v>
      </c>
      <c r="BL15" t="s">
        <v>28</v>
      </c>
      <c r="BM15" t="s">
        <v>28</v>
      </c>
    </row>
    <row r="16" spans="1:70">
      <c r="A16" t="s">
        <v>646</v>
      </c>
      <c r="B16" t="s">
        <v>28</v>
      </c>
      <c r="C16">
        <f>AM16</f>
        <v>3</v>
      </c>
      <c r="T16" t="s">
        <v>28</v>
      </c>
      <c r="AA16" t="s">
        <v>28</v>
      </c>
      <c r="AB16" t="s">
        <v>28</v>
      </c>
      <c r="AM16">
        <f t="shared" si="0"/>
        <v>3</v>
      </c>
      <c r="BF16" t="s">
        <v>28</v>
      </c>
      <c r="BO16" t="s">
        <v>28</v>
      </c>
    </row>
    <row r="17" spans="1:67">
      <c r="A17" t="s">
        <v>649</v>
      </c>
      <c r="B17" t="s">
        <v>28</v>
      </c>
      <c r="C17">
        <f>AM17</f>
        <v>3</v>
      </c>
      <c r="H17" t="s">
        <v>28</v>
      </c>
      <c r="T17" t="s">
        <v>28</v>
      </c>
      <c r="U17" t="s">
        <v>28</v>
      </c>
      <c r="AM17">
        <f t="shared" si="0"/>
        <v>3</v>
      </c>
      <c r="AN17" t="s">
        <v>28</v>
      </c>
      <c r="AQ17" t="s">
        <v>28</v>
      </c>
      <c r="AW17" t="s">
        <v>28</v>
      </c>
      <c r="AX17" t="s">
        <v>28</v>
      </c>
      <c r="AY17" t="s">
        <v>28</v>
      </c>
      <c r="BJ17" t="s">
        <v>28</v>
      </c>
      <c r="BK17" t="s">
        <v>28</v>
      </c>
    </row>
    <row r="18" spans="1:67">
      <c r="A18" t="s">
        <v>652</v>
      </c>
      <c r="B18" t="s">
        <v>28</v>
      </c>
      <c r="C18">
        <f>AM18</f>
        <v>3</v>
      </c>
      <c r="D18" t="s">
        <v>28</v>
      </c>
      <c r="O18" t="s">
        <v>28</v>
      </c>
      <c r="T18" t="s">
        <v>28</v>
      </c>
      <c r="AM18">
        <f t="shared" si="0"/>
        <v>3</v>
      </c>
      <c r="AW18" t="s">
        <v>28</v>
      </c>
      <c r="AZ18" t="s">
        <v>28</v>
      </c>
      <c r="BD18" t="s">
        <v>28</v>
      </c>
    </row>
    <row r="19" spans="1:67">
      <c r="A19" t="s">
        <v>655</v>
      </c>
      <c r="B19" t="s">
        <v>28</v>
      </c>
      <c r="C19">
        <f>AM19</f>
        <v>3</v>
      </c>
      <c r="H19" t="s">
        <v>28</v>
      </c>
      <c r="R19" t="s">
        <v>28</v>
      </c>
      <c r="AA19" t="s">
        <v>28</v>
      </c>
      <c r="AM19">
        <f t="shared" si="0"/>
        <v>3</v>
      </c>
      <c r="AR19" t="s">
        <v>28</v>
      </c>
      <c r="AT19" t="s">
        <v>28</v>
      </c>
      <c r="AU19" t="s">
        <v>28</v>
      </c>
      <c r="AX19" t="s">
        <v>28</v>
      </c>
      <c r="BE19" t="s">
        <v>28</v>
      </c>
      <c r="BF19" t="s">
        <v>28</v>
      </c>
      <c r="BO19" t="s">
        <v>28</v>
      </c>
    </row>
    <row r="20" spans="1:67">
      <c r="A20" s="4" t="s">
        <v>658</v>
      </c>
      <c r="B20" t="s">
        <v>28</v>
      </c>
      <c r="C20">
        <f>AM20</f>
        <v>3</v>
      </c>
      <c r="D20" t="s">
        <v>28</v>
      </c>
      <c r="E20" t="s">
        <v>28</v>
      </c>
      <c r="F20" t="s">
        <v>28</v>
      </c>
      <c r="AM20">
        <f t="shared" si="0"/>
        <v>3</v>
      </c>
      <c r="AN20" t="s">
        <v>28</v>
      </c>
      <c r="AO20" t="s">
        <v>28</v>
      </c>
      <c r="AR20" t="s">
        <v>28</v>
      </c>
      <c r="AU20" t="s">
        <v>28</v>
      </c>
      <c r="AX20" t="s">
        <v>28</v>
      </c>
      <c r="BD20" t="s">
        <v>28</v>
      </c>
      <c r="BE20" t="s">
        <v>28</v>
      </c>
      <c r="BF20" t="s">
        <v>28</v>
      </c>
      <c r="BO20" t="s">
        <v>28</v>
      </c>
    </row>
    <row r="21" spans="1:67">
      <c r="A21" t="s">
        <v>662</v>
      </c>
      <c r="B21" t="s">
        <v>28</v>
      </c>
      <c r="C21">
        <f>AM21</f>
        <v>3</v>
      </c>
      <c r="D21" t="s">
        <v>28</v>
      </c>
      <c r="E21" t="s">
        <v>28</v>
      </c>
      <c r="F21" t="s">
        <v>50</v>
      </c>
      <c r="AA21" t="s">
        <v>28</v>
      </c>
      <c r="AM21">
        <f t="shared" si="0"/>
        <v>3</v>
      </c>
      <c r="AU21" t="s">
        <v>28</v>
      </c>
      <c r="AZ21" t="s">
        <v>28</v>
      </c>
      <c r="BA21" t="s">
        <v>28</v>
      </c>
      <c r="BF21" t="s">
        <v>28</v>
      </c>
    </row>
    <row r="22" spans="1:67">
      <c r="D22">
        <f>COUNTIF(D2:D21,"oui")</f>
        <v>5</v>
      </c>
      <c r="E22">
        <f>COUNTIF(E2:E21,"oui")</f>
        <v>4</v>
      </c>
      <c r="F22">
        <f>COUNTIF(F2:F21,"oui")</f>
        <v>4</v>
      </c>
      <c r="G22">
        <f>COUNTIF(G2:G21,"oui")</f>
        <v>1</v>
      </c>
      <c r="H22">
        <f>COUNTIF(H2:H21,"oui")</f>
        <v>5</v>
      </c>
      <c r="I22">
        <f>COUNTIF(I2:I21,"oui")</f>
        <v>1</v>
      </c>
      <c r="J22">
        <f>COUNTIF(J2:J21,"oui")</f>
        <v>4</v>
      </c>
      <c r="K22">
        <f>COUNTIF(K2:K21,"oui")</f>
        <v>2</v>
      </c>
      <c r="L22">
        <f>COUNTIF(L2:L21,"oui")</f>
        <v>1</v>
      </c>
      <c r="M22">
        <f>COUNTIF(M2:M21,"oui")</f>
        <v>1</v>
      </c>
      <c r="N22">
        <f>COUNTIF(N2:N21,"oui")</f>
        <v>1</v>
      </c>
      <c r="O22">
        <f>COUNTIF(O2:O21,"oui")</f>
        <v>6</v>
      </c>
      <c r="P22">
        <f>COUNTIF(P2:P21,"oui")</f>
        <v>0</v>
      </c>
      <c r="Q22">
        <f>COUNTIF(Q2:Q21,"oui")</f>
        <v>0</v>
      </c>
      <c r="R22">
        <f>COUNTIF(R2:R21,"oui")</f>
        <v>3</v>
      </c>
      <c r="S22">
        <f>COUNTIF(S2:S21,"oui")</f>
        <v>0</v>
      </c>
      <c r="T22">
        <f>COUNTIF(T2:T21,"oui")</f>
        <v>6</v>
      </c>
      <c r="U22">
        <f>COUNTIF(U2:U21,"oui")</f>
        <v>3</v>
      </c>
      <c r="V22">
        <f>COUNTIF(V2:V21,"oui")</f>
        <v>0</v>
      </c>
      <c r="W22">
        <f>COUNTIF(W2:W21,"oui")</f>
        <v>0</v>
      </c>
      <c r="X22">
        <f>COUNTIF(X2:X21,"oui")</f>
        <v>2</v>
      </c>
      <c r="Y22">
        <f>COUNTIF(Y2:Y21,"oui")</f>
        <v>3</v>
      </c>
      <c r="Z22">
        <f>COUNTIF(Z2:Z21,"oui")</f>
        <v>0</v>
      </c>
      <c r="AA22">
        <f>COUNTIF(AA2:AA21,"oui")</f>
        <v>4</v>
      </c>
      <c r="AB22">
        <f>COUNTIF(AB2:AB21,"oui")</f>
        <v>2</v>
      </c>
      <c r="AC22">
        <f>COUNTIF(AC2:AC21,"oui")</f>
        <v>0</v>
      </c>
      <c r="AD22">
        <f>COUNTIF(AD2:AD21,"oui")</f>
        <v>2</v>
      </c>
      <c r="AE22">
        <f>COUNTIF(AE2:AE21,"oui")</f>
        <v>0</v>
      </c>
      <c r="AF22">
        <f>COUNTIF(AF2:AF21,"oui")</f>
        <v>0</v>
      </c>
      <c r="AG22">
        <f>COUNTIF(AG2:AG21,"oui")</f>
        <v>0</v>
      </c>
      <c r="AH22">
        <f>COUNTIF(AH2:AH21,"oui")</f>
        <v>0</v>
      </c>
      <c r="AI22">
        <f>COUNTIF(AI2:AI21,"oui")</f>
        <v>0</v>
      </c>
      <c r="AJ22">
        <f>COUNTIF(AJ2:AJ21,"oui")</f>
        <v>0</v>
      </c>
      <c r="AK22">
        <f>COUNTIF(AK2:AK21,"oui")</f>
        <v>0</v>
      </c>
      <c r="AL22">
        <f>COUNTIF(AL2:AL21,"oui")</f>
        <v>0</v>
      </c>
      <c r="AM22">
        <f t="shared" si="0"/>
        <v>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17E211CB-566B-49DD-8CD5-0F8F25DDA236}">
          <x14:formula1>
            <xm:f>src!$L$2:$L$3</xm:f>
          </x14:formula1>
          <xm:sqref>D2:AL12 D13:E13 G13:AL13 D14:AL21 AN2:BR12 AN13:AO13 AQ13:BR13 AN14:BR14 AN15:AO15 AQ15:BR15 AN16:BR16 AQ17:BR17 AN17:AO17 AN18:BR21</xm:sqref>
        </x14:dataValidation>
        <x14:dataValidation type="list" allowBlank="1" showInputMessage="1" showErrorMessage="1" xr:uid="{93B39788-B8A5-4F2C-93DF-243513CFAFDE}">
          <x14:formula1>
            <xm:f>src!$K$2:$K$3</xm:f>
          </x14:formula1>
          <xm:sqref>B1:B22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b5bf9363-e801-4a02-b0f4-4b8d1dc8533e">
      <UserInfo>
        <DisplayName/>
        <AccountId xsi:nil="true"/>
        <AccountType/>
      </UserInfo>
    </SharedWithUsers>
    <lcf76f155ced4ddcb4097134ff3c332f xmlns="c2eb94b6-4a92-45c3-9d95-3925ffdfadf2">
      <Terms xmlns="http://schemas.microsoft.com/office/infopath/2007/PartnerControls"/>
    </lcf76f155ced4ddcb4097134ff3c332f>
    <TaxCatchAll xmlns="b5bf9363-e801-4a02-b0f4-4b8d1dc853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86105F59AA7C14396007F0D8AF99EAA" ma:contentTypeVersion="18" ma:contentTypeDescription="Crée un document." ma:contentTypeScope="" ma:versionID="fd632b07a223b143072353ab8ae7e466">
  <xsd:schema xmlns:xsd="http://www.w3.org/2001/XMLSchema" xmlns:xs="http://www.w3.org/2001/XMLSchema" xmlns:p="http://schemas.microsoft.com/office/2006/metadata/properties" xmlns:ns2="c2eb94b6-4a92-45c3-9d95-3925ffdfadf2" xmlns:ns3="b5bf9363-e801-4a02-b0f4-4b8d1dc8533e" targetNamespace="http://schemas.microsoft.com/office/2006/metadata/properties" ma:root="true" ma:fieldsID="bf8e2bc7eb080414d5a829427886d094" ns2:_="" ns3:_="">
    <xsd:import namespace="c2eb94b6-4a92-45c3-9d95-3925ffdfadf2"/>
    <xsd:import namespace="b5bf9363-e801-4a02-b0f4-4b8d1dc8533e"/>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b94b6-4a92-45c3-9d95-3925ffdfad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Location" ma:index="12" nillable="true" ma:displayName="Location" ma:internalName="MediaServiceLocatio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Balises d’images" ma:readOnly="false" ma:fieldId="{5cf76f15-5ced-4ddc-b409-7134ff3c332f}" ma:taxonomyMulti="true" ma:sspId="22ee56af-56e7-4bf6-ba44-9fada68ca94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5bf9363-e801-4a02-b0f4-4b8d1dc8533e" elementFormDefault="qualified">
    <xsd:import namespace="http://schemas.microsoft.com/office/2006/documentManagement/types"/>
    <xsd:import namespace="http://schemas.microsoft.com/office/infopath/2007/PartnerControls"/>
    <xsd:element name="SharedWithUsers" ma:index="14"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Partagé avec détails" ma:internalName="SharedWithDetails" ma:readOnly="true">
      <xsd:simpleType>
        <xsd:restriction base="dms:Note">
          <xsd:maxLength value="255"/>
        </xsd:restriction>
      </xsd:simpleType>
    </xsd:element>
    <xsd:element name="TaxCatchAll" ma:index="23" nillable="true" ma:displayName="Taxonomy Catch All Column" ma:hidden="true" ma:list="{7ece4c89-f5a9-4996-9181-5d01ebd22d1c}" ma:internalName="TaxCatchAll" ma:showField="CatchAllData" ma:web="b5bf9363-e801-4a02-b0f4-4b8d1dc853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6BE1B0-487B-4621-95D4-C964E83CE4FD}"/>
</file>

<file path=customXml/itemProps2.xml><?xml version="1.0" encoding="utf-8"?>
<ds:datastoreItem xmlns:ds="http://schemas.openxmlformats.org/officeDocument/2006/customXml" ds:itemID="{960BA0F7-0889-4E32-B92B-FF059A7986F5}"/>
</file>

<file path=customXml/itemProps3.xml><?xml version="1.0" encoding="utf-8"?>
<ds:datastoreItem xmlns:ds="http://schemas.openxmlformats.org/officeDocument/2006/customXml" ds:itemID="{6844E12F-82C9-41FA-A9F2-A020F5EFB9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Olivier BURCKER</dc:creator>
  <cp:keywords/>
  <dc:description/>
  <cp:lastModifiedBy>Olivier BURCKER</cp:lastModifiedBy>
  <cp:revision/>
  <dcterms:created xsi:type="dcterms:W3CDTF">2025-09-23T06:56:30Z</dcterms:created>
  <dcterms:modified xsi:type="dcterms:W3CDTF">2026-07-31T09:37:30Z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0x010100F86105F59AA7C14396007F0D8AF99EAA</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